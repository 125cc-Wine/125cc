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ARTA SEMANAL" sheetId="2" state="visible" r:id="rId2"/>
    <sheet name="MERMA Y CONTROL" sheetId="3" state="visible" r:id="rId3"/>
    <sheet name="TAPEO" sheetId="4" state="visible" r:id="rId4"/>
    <sheet name="COSTOS FIJOS Y VARIABLES" sheetId="5" state="visible" r:id="rId5"/>
    <sheet name="PUNTO DE EQUILIBRIO" sheetId="6" state="visible" r:id="rId6"/>
    <sheet name="RENTABILIDAD POR NOCHE" sheetId="7" state="visible" r:id="rId7"/>
    <sheet name="P&amp;L MENSUAL PROYECTADO" sheetId="8" state="visible" r:id="rId8"/>
    <sheet name="ESCENARIOS" sheetId="9" state="visible" r:id="rId9"/>
  </sheets>
  <definedNames>
    <definedName name="NochesPorSemana">'PARAMETROS'!$B$4</definedName>
    <definedName name="NochesPorMes">'PARAMETROS'!$B$5</definedName>
    <definedName name="NochesPorMesAlt">'PARAMETROS'!$B$6</definedName>
    <definedName name="CapacidadMaximaPersonasNoche">'PARAMETROS'!$B$7</definedName>
    <definedName name="PersonasPorNocheBase">'PARAMETROS'!$B$8</definedName>
    <definedName name="CopasPorPersona">'PARAMETROS'!$B$9</definedName>
    <definedName name="VinosSimultaneos">'PARAMETROS'!$B$10</definedName>
    <definedName name="PctBodegasSocias">'PARAMETROS'!$B$13</definedName>
    <definedName name="PctCostoVinoPropio">'PARAMETROS'!$B$14</definedName>
    <definedName name="CopasTeoricasPorBotella">'PARAMETROS'!$B$15</definedName>
    <definedName name="Tier1Limite">'PARAMETROS'!$B$18</definedName>
    <definedName name="Tier1Markup">'PARAMETROS'!$B$19</definedName>
    <definedName name="Tier2Limite">'PARAMETROS'!$B$20</definedName>
    <definedName name="Tier2Markup">'PARAMETROS'!$B$21</definedName>
    <definedName name="Tier3Limite">'PARAMETROS'!$B$22</definedName>
    <definedName name="Tier3Markup">'PARAMETROS'!$B$23</definedName>
    <definedName name="Tier4Markup">'PARAMETROS'!$B$24</definedName>
    <definedName name="RedondeoA">'PARAMETROS'!$B$25</definedName>
    <definedName name="MermaCortesiaCopasPorBotella">'PARAMETROS'!$B$28</definedName>
    <definedName name="MermaCatacionCopasPorBotella">'PARAMETROS'!$B$29</definedName>
    <definedName name="MermaSobranteCopasPorBotella">'PARAMETROS'!$B$30</definedName>
    <definedName name="MermaRoturasCopasPorBotella">'PARAMETROS'!$B$31</definedName>
    <definedName name="Alquiler">'PARAMETROS'!$B$34</definedName>
    <definedName name="SueldosCargas">'PARAMETROS'!$B$35</definedName>
    <definedName name="PersonalApoyo5taNoche">'PARAMETROS'!$B$36</definedName>
    <definedName name="Servicios">'PARAMETROS'!$B$37</definedName>
    <definedName name="ServiciosExtra5taNoche">'PARAMETROS'!$B$38</definedName>
    <definedName name="ImpuestosTasas">'PARAMETROS'!$B$39</definedName>
    <definedName name="Seguro">'PARAMETROS'!$B$40</definedName>
    <definedName name="Contador">'PARAMETROS'!$B$41</definedName>
    <definedName name="MantenimientoDispenser">'PARAMETROS'!$B$42</definedName>
    <definedName name="MarketingRedes">'PARAMETROS'!$B$43</definedName>
    <definedName name="CostosFijosReferencia">'PARAMETROS'!$B$44</definedName>
    <definedName name="CostoLimpiezaPorNoche">'PARAMETROS'!$B$47</definedName>
    <definedName name="CostoReposicionCopaUnidad">'PARAMETROS'!$B$48</definedName>
    <definedName name="PctRoturasCristaleria">'PARAMETROS'!$B$49</definedName>
    <definedName name="PctComisionMedioPago">'PARAMETROS'!$B$50</definedName>
    <definedName name="ClubSociosInicial">'PARAMETROS'!$B$53</definedName>
    <definedName name="ClubSociosFinal">'PARAMETROS'!$B$54</definedName>
    <definedName name="ClubSociosCuotaPromedio">'PARAMETROS'!$B$55</definedName>
    <definedName name="PctClientesTapeo">'PARAMETROS'!$B$56</definedName>
    <definedName name="IngresoEventosMensual">'PARAMETROS'!$B$57</definedName>
    <definedName name="InflacionMensual">'PARAMETROS'!$B$60</definedName>
    <definedName name="IdxEne">'PARAMETROS'!$B$64</definedName>
    <definedName name="IdxFeb">'PARAMETROS'!$D$64</definedName>
    <definedName name="IdxMar">'PARAMETROS'!$B$65</definedName>
    <definedName name="IdxAbr">'PARAMETROS'!$D$65</definedName>
    <definedName name="IdxMay">'PARAMETROS'!$B$66</definedName>
    <definedName name="IdxJun">'PARAMETROS'!$D$66</definedName>
    <definedName name="IdxJul">'PARAMETROS'!$B$67</definedName>
    <definedName name="IdxAgo">'PARAMETROS'!$D$67</definedName>
    <definedName name="IdxSep">'PARAMETROS'!$B$68</definedName>
    <definedName name="IdxOct">'PARAMETROS'!$D$68</definedName>
    <definedName name="IdxNov">'PARAMETROS'!$B$69</definedName>
    <definedName name="IdxDic">'PARAMETROS'!$D$69</definedName>
    <definedName name="PrecioVentaPromedio">'CARTA SEMANAL'!$I$19</definedName>
    <definedName name="CostoPorCopaCompraPromedioTeorico">'CARTA SEMANAL'!$I$20</definedName>
    <definedName name="PrecioGondolaPromedio">'CARTA SEMANAL'!$I$21</definedName>
    <definedName name="RendimientoRealCopasPorBotella">'MERMA Y CONTROL'!$B$9</definedName>
    <definedName name="TicketTapeoPromedio">'TAPEO'!$B$19</definedName>
    <definedName name="TapeoCostoPct">'TAPEO'!$B$20</definedName>
    <definedName name="CopasVendidasMesBase">'COSTOS FIJOS Y VARIABLES'!$B$3</definedName>
    <definedName name="FacturacionMensualBase">'COSTOS FIJOS Y VARIABLES'!$B$4</definedName>
    <definedName name="TotalCostosFijos5Noches">'COSTOS FIJOS Y VARIABLES'!$B$18</definedName>
    <definedName name="TotalCostosFijosSin5taNoche">'COSTOS FIJOS Y VARIABLES'!$B$19</definedName>
    <definedName name="TotalCostosVariablesBase">'COSTOS FIJOS Y VARIABLES'!$B$26</definedName>
    <definedName name="CostoPorCopaCompraPromedio">'PUNTO DE EQUILIBRIO'!$B$6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&quot;$&quot; #,##0"/>
    <numFmt numFmtId="166" formatCode="0.0%"/>
    <numFmt numFmtId="167" formatCode="&quot;$&quot; #,##0.00"/>
  </numFmts>
  <fonts count="8">
    <font>
      <name val="Calibri"/>
      <family val="2"/>
      <color theme="1"/>
      <sz val="11"/>
      <scheme val="minor"/>
    </font>
    <font>
      <name val="Arial"/>
      <b val="1"/>
      <color rgb="00F5EDE0"/>
      <sz val="13"/>
    </font>
    <font>
      <name val="Arial"/>
      <b val="1"/>
      <color rgb="00F5EDE0"/>
      <sz val="9"/>
    </font>
    <font>
      <name val="Arial"/>
      <b val="1"/>
      <color rgb="00F5EDE0"/>
      <sz val="10"/>
    </font>
    <font>
      <name val="Arial"/>
      <color rgb="002A333C"/>
      <sz val="9"/>
    </font>
    <font>
      <name val="Arial"/>
      <i val="1"/>
      <color rgb="002A333C"/>
      <sz val="9"/>
    </font>
    <font>
      <name val="Arial"/>
      <i val="1"/>
      <color rgb="005A6470"/>
      <sz val="8"/>
    </font>
    <font>
      <name val="Arial"/>
      <b val="1"/>
      <color rgb="002A333C"/>
      <sz val="9"/>
    </font>
  </fonts>
  <fills count="6">
    <fill>
      <patternFill/>
    </fill>
    <fill>
      <patternFill patternType="gray125"/>
    </fill>
    <fill>
      <patternFill patternType="solid">
        <fgColor rgb="002A333C"/>
      </patternFill>
    </fill>
    <fill>
      <patternFill patternType="solid">
        <fgColor rgb="00FDF3D0"/>
      </patternFill>
    </fill>
    <fill>
      <patternFill patternType="solid">
        <fgColor rgb="00EDE7D9"/>
      </patternFill>
    </fill>
    <fill>
      <patternFill patternType="solid">
        <fgColor rgb="00E8DFC0"/>
      </patternFill>
    </fill>
  </fills>
  <borders count="3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  <border>
      <bottom style="double">
        <color rgb="002A333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1"/>
    </xf>
    <xf numFmtId="3" fontId="4" fillId="3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9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166" fontId="4" fillId="3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0" borderId="1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 indent="1"/>
    </xf>
    <xf numFmtId="0" fontId="7" fillId="4" borderId="0" pivotButton="0" quotePrefix="0" xfId="0"/>
    <xf numFmtId="165" fontId="7" fillId="4" borderId="1" applyAlignment="1" pivotButton="0" quotePrefix="0" xfId="0">
      <alignment horizontal="right" vertical="center"/>
    </xf>
    <xf numFmtId="0" fontId="0" fillId="4" borderId="0" pivotButton="0" quotePrefix="0" xfId="0"/>
    <xf numFmtId="166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 indent="1"/>
    </xf>
    <xf numFmtId="165" fontId="7" fillId="0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indent="1"/>
    </xf>
    <xf numFmtId="4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9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 indent="1"/>
    </xf>
    <xf numFmtId="3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</cellXfs>
  <cellStyles count="1">
    <cellStyle name="Normal" xfId="0" builtinId="0" hidden="0"/>
  </cellStyles>
  <dxfs count="3">
    <dxf>
      <fill>
        <patternFill patternType="solid">
          <fgColor rgb="00DEC9C6"/>
        </patternFill>
      </fill>
    </dxf>
    <dxf>
      <fill>
        <patternFill patternType="solid">
          <fgColor rgb="00C7D6C2"/>
        </patternFill>
      </fill>
    </dxf>
    <dxf>
      <fill>
        <patternFill patternType="solid">
          <fgColor rgb="00E8DFC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showGridLines="0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5" customWidth="1" min="2" max="2"/>
    <col width="14" customWidth="1" min="3" max="3"/>
    <col width="58" customWidth="1" min="4" max="4"/>
  </cols>
  <sheetData>
    <row r="1" ht="22" customHeight="1">
      <c r="A1" s="1" t="inlineStr">
        <is>
          <t>PARÁMETROS — 125cc Wine Bar (todo lo demás referencia esta hoja)</t>
        </is>
      </c>
      <c r="B1" s="2" t="n"/>
      <c r="C1" s="2" t="n"/>
      <c r="D1" s="2" t="n"/>
    </row>
    <row r="2" ht="30" customHeight="1">
      <c r="A2" s="3" t="inlineStr">
        <is>
          <t>Parámetro</t>
        </is>
      </c>
      <c r="B2" s="3" t="inlineStr">
        <is>
          <t>Valor</t>
        </is>
      </c>
      <c r="C2" s="3" t="inlineStr">
        <is>
          <t>Unidad</t>
        </is>
      </c>
      <c r="D2" s="3" t="inlineStr">
        <is>
          <t>Nota</t>
        </is>
      </c>
    </row>
    <row r="3" ht="18" customHeight="1">
      <c r="A3" s="4" t="inlineStr">
        <is>
          <t>OPERACIÓN</t>
        </is>
      </c>
      <c r="B3" s="2" t="n"/>
      <c r="C3" s="2" t="n"/>
      <c r="D3" s="2" t="n"/>
    </row>
    <row r="4">
      <c r="A4" s="5" t="inlineStr">
        <is>
          <t>Noches por semana</t>
        </is>
      </c>
      <c r="B4" s="6" t="n">
        <v>5</v>
      </c>
      <c r="C4" s="7" t="inlineStr">
        <is>
          <t>noches</t>
        </is>
      </c>
      <c r="D4" s="8" t="inlineStr">
        <is>
          <t>Martes a sábado</t>
        </is>
      </c>
    </row>
    <row r="5">
      <c r="A5" s="5" t="inlineStr">
        <is>
          <t>Noches por mes</t>
        </is>
      </c>
      <c r="B5" s="9" t="n">
        <v>21.5</v>
      </c>
      <c r="C5" s="7" t="inlineStr">
        <is>
          <t>noches</t>
        </is>
      </c>
      <c r="D5" s="8" t="inlineStr">
        <is>
          <t>5 noches/sem × ~4,3 semanas</t>
        </is>
      </c>
    </row>
    <row r="6">
      <c r="A6" s="5" t="inlineStr">
        <is>
          <t>Noches por mes — escenario 4 noches/sem</t>
        </is>
      </c>
      <c r="B6" s="10">
        <f>NochesPorSemana*0+NochesPorMes*4/NochesPorSemana</f>
        <v/>
      </c>
      <c r="C6" s="7" t="inlineStr">
        <is>
          <t>noches</t>
        </is>
      </c>
      <c r="D6" s="8" t="inlineStr">
        <is>
          <t>Referencia para medir el efecto de la 5ta noche</t>
        </is>
      </c>
    </row>
    <row r="7">
      <c r="A7" s="5" t="inlineStr">
        <is>
          <t>Capacidad máxima por noche</t>
        </is>
      </c>
      <c r="B7" s="6" t="n">
        <v>60</v>
      </c>
      <c r="C7" s="7" t="inlineStr">
        <is>
          <t>personas</t>
        </is>
      </c>
      <c r="D7" s="8" t="inlineStr">
        <is>
          <t>20 personas × hasta 3 rotaciones</t>
        </is>
      </c>
    </row>
    <row r="8">
      <c r="A8" s="5" t="inlineStr">
        <is>
          <t>Personas por noche (base, promedio)</t>
        </is>
      </c>
      <c r="B8" s="6" t="n">
        <v>40</v>
      </c>
      <c r="C8" s="7" t="inlineStr">
        <is>
          <t>personas</t>
        </is>
      </c>
      <c r="D8" s="8" t="inlineStr">
        <is>
          <t>Extremo conservador del rango 40–60 (20 pers. × 2 rotaciones)</t>
        </is>
      </c>
    </row>
    <row r="9">
      <c r="A9" s="5" t="inlineStr">
        <is>
          <t>Copas por persona</t>
        </is>
      </c>
      <c r="B9" s="9" t="n">
        <v>2.2</v>
      </c>
      <c r="C9" s="7" t="inlineStr">
        <is>
          <t>copas</t>
        </is>
      </c>
      <c r="D9" s="8" t="inlineStr">
        <is>
          <t>Conservador dentro del rango 2–3</t>
        </is>
      </c>
    </row>
    <row r="10">
      <c r="A10" s="5" t="inlineStr">
        <is>
          <t>Vinos simultáneos en carta</t>
        </is>
      </c>
      <c r="B10" s="6" t="n">
        <v>14</v>
      </c>
      <c r="C10" s="7" t="inlineStr">
        <is>
          <t>vinos</t>
        </is>
      </c>
      <c r="D10" s="8" t="inlineStr">
        <is>
          <t>Rotación semanal → 52 etiquetas distintas/mes</t>
        </is>
      </c>
    </row>
    <row r="12" ht="18" customHeight="1">
      <c r="A12" s="4" t="inlineStr">
        <is>
          <t>CARTA Y COSTO DE VINO</t>
        </is>
      </c>
      <c r="B12" s="2" t="n"/>
      <c r="C12" s="2" t="n"/>
      <c r="D12" s="2" t="n"/>
    </row>
    <row r="13">
      <c r="A13" s="5" t="inlineStr">
        <is>
          <t>% bodegas socias en carta (semilla actual)</t>
        </is>
      </c>
      <c r="B13" s="11" t="n">
        <v>0.5</v>
      </c>
      <c r="C13" s="7" t="inlineStr">
        <is>
          <t>%</t>
        </is>
      </c>
      <c r="D13" s="8" t="inlineStr">
        <is>
          <t>Editable — ejemplo de semilla ~50/50</t>
        </is>
      </c>
    </row>
    <row r="14">
      <c r="A14" s="5" t="inlineStr">
        <is>
          <t>% costo del vino propio s/precio góndola</t>
        </is>
      </c>
      <c r="B14" s="11" t="n">
        <v>0.5</v>
      </c>
      <c r="C14" s="7" t="inlineStr">
        <is>
          <t>%</t>
        </is>
      </c>
      <c r="D14" s="8" t="inlineStr">
        <is>
          <t>Vino de bodega socia = costo $0</t>
        </is>
      </c>
    </row>
    <row r="15">
      <c r="A15" s="5" t="inlineStr">
        <is>
          <t>Copas teóricas por botella</t>
        </is>
      </c>
      <c r="B15" s="6" t="n">
        <v>6</v>
      </c>
      <c r="C15" s="7" t="inlineStr">
        <is>
          <t>copas</t>
        </is>
      </c>
      <c r="D15" s="8" t="inlineStr">
        <is>
          <t>750 ml ÷ 125 cc</t>
        </is>
      </c>
    </row>
    <row r="17" ht="18" customHeight="1">
      <c r="A17" s="4" t="inlineStr">
        <is>
          <t>MARKUP ESCALONADO (precio de venta por copa)</t>
        </is>
      </c>
      <c r="B17" s="2" t="n"/>
      <c r="C17" s="2" t="n"/>
      <c r="D17" s="2" t="n"/>
    </row>
    <row r="18">
      <c r="A18" s="5" t="inlineStr">
        <is>
          <t>Límite banda 1 (precio góndola)</t>
        </is>
      </c>
      <c r="B18" s="12" t="n">
        <v>30000</v>
      </c>
      <c r="C18" s="7" t="inlineStr">
        <is>
          <t>$</t>
        </is>
      </c>
      <c r="D18" s="8" t="inlineStr"/>
    </row>
    <row r="19">
      <c r="A19" s="5" t="inlineStr">
        <is>
          <t>Markup banda 1 (hasta límite 1)</t>
        </is>
      </c>
      <c r="B19" s="13" t="n">
        <v>1.7</v>
      </c>
      <c r="C19" s="7" t="inlineStr">
        <is>
          <t>x</t>
        </is>
      </c>
      <c r="D19" s="8" t="inlineStr"/>
    </row>
    <row r="20">
      <c r="A20" s="5" t="inlineStr">
        <is>
          <t>Límite banda 2 (precio góndola)</t>
        </is>
      </c>
      <c r="B20" s="12" t="n">
        <v>60000</v>
      </c>
      <c r="C20" s="7" t="inlineStr">
        <is>
          <t>$</t>
        </is>
      </c>
      <c r="D20" s="8" t="inlineStr"/>
    </row>
    <row r="21">
      <c r="A21" s="5" t="inlineStr">
        <is>
          <t>Markup banda 2 (hasta límite 2)</t>
        </is>
      </c>
      <c r="B21" s="13" t="n">
        <v>1.6</v>
      </c>
      <c r="C21" s="7" t="inlineStr">
        <is>
          <t>x</t>
        </is>
      </c>
      <c r="D21" s="8" t="inlineStr"/>
    </row>
    <row r="22">
      <c r="A22" s="5" t="inlineStr">
        <is>
          <t>Límite banda 3 (precio góndola)</t>
        </is>
      </c>
      <c r="B22" s="12" t="n">
        <v>90000</v>
      </c>
      <c r="C22" s="7" t="inlineStr">
        <is>
          <t>$</t>
        </is>
      </c>
      <c r="D22" s="8" t="inlineStr"/>
    </row>
    <row r="23">
      <c r="A23" s="5" t="inlineStr">
        <is>
          <t>Markup banda 3 (hasta límite 3)</t>
        </is>
      </c>
      <c r="B23" s="13" t="n">
        <v>1.5</v>
      </c>
      <c r="C23" s="7" t="inlineStr">
        <is>
          <t>x</t>
        </is>
      </c>
      <c r="D23" s="8" t="inlineStr"/>
    </row>
    <row r="24">
      <c r="A24" s="5" t="inlineStr">
        <is>
          <t>Markup banda 4 (sobre límite 3)</t>
        </is>
      </c>
      <c r="B24" s="13" t="n">
        <v>1.25</v>
      </c>
      <c r="C24" s="7" t="inlineStr">
        <is>
          <t>x</t>
        </is>
      </c>
      <c r="D24" s="8" t="inlineStr"/>
    </row>
    <row r="25">
      <c r="A25" s="5" t="inlineStr">
        <is>
          <t>Redondeo del precio final</t>
        </is>
      </c>
      <c r="B25" s="12" t="n">
        <v>50</v>
      </c>
      <c r="C25" s="7" t="inlineStr">
        <is>
          <t>$</t>
        </is>
      </c>
      <c r="D25" s="8" t="inlineStr">
        <is>
          <t>Redondeo al múltiplo más cercano (MROUND)</t>
        </is>
      </c>
    </row>
    <row r="27" ht="18" customHeight="1">
      <c r="A27" s="4" t="inlineStr">
        <is>
          <t>MERMA — copas perdidas por botella (rendimiento real)</t>
        </is>
      </c>
      <c r="B27" s="2" t="n"/>
      <c r="C27" s="2" t="n"/>
      <c r="D27" s="2" t="n"/>
    </row>
    <row r="28">
      <c r="A28" s="5" t="inlineStr">
        <is>
          <t>Cortesía a cliente / prensa</t>
        </is>
      </c>
      <c r="B28" s="13" t="n">
        <v>0.15</v>
      </c>
      <c r="C28" s="7" t="inlineStr">
        <is>
          <t>copas/bot.</t>
        </is>
      </c>
      <c r="D28" s="8" t="inlineStr"/>
    </row>
    <row r="29">
      <c r="A29" s="5" t="inlineStr">
        <is>
          <t>Catación del sommelier</t>
        </is>
      </c>
      <c r="B29" s="13" t="n">
        <v>0.1</v>
      </c>
      <c r="C29" s="7" t="inlineStr">
        <is>
          <t>copas/bot.</t>
        </is>
      </c>
      <c r="D29" s="8" t="inlineStr"/>
    </row>
    <row r="30">
      <c r="A30" s="5" t="inlineStr">
        <is>
          <t>Sobrante de botella abierta no vendido</t>
        </is>
      </c>
      <c r="B30" s="13" t="n">
        <v>0.2</v>
      </c>
      <c r="C30" s="7" t="inlineStr">
        <is>
          <t>copas/bot.</t>
        </is>
      </c>
      <c r="D30" s="8" t="inlineStr">
        <is>
          <t>Mejorado por 5 noches (mayor rotación) + dispenser Redsack (menor oxidación)</t>
        </is>
      </c>
    </row>
    <row r="31">
      <c r="A31" s="5" t="inlineStr">
        <is>
          <t>Roturas de cristalería (equivalente)</t>
        </is>
      </c>
      <c r="B31" s="13" t="n">
        <v>0.05</v>
      </c>
      <c r="C31" s="7" t="inlineStr">
        <is>
          <t>copas/bot.</t>
        </is>
      </c>
      <c r="D31" s="8" t="inlineStr"/>
    </row>
    <row r="33" ht="18" customHeight="1">
      <c r="A33" s="4" t="inlineStr">
        <is>
          <t>COSTOS FIJOS MENSUALES (desglose editable)</t>
        </is>
      </c>
      <c r="B33" s="2" t="n"/>
      <c r="C33" s="2" t="n"/>
      <c r="D33" s="2" t="n"/>
    </row>
    <row r="34">
      <c r="A34" s="5" t="inlineStr">
        <is>
          <t>Alquiler</t>
        </is>
      </c>
      <c r="B34" s="12" t="n">
        <v>900000</v>
      </c>
      <c r="C34" s="7" t="inlineStr">
        <is>
          <t>$/mes</t>
        </is>
      </c>
      <c r="D34" s="8" t="inlineStr"/>
    </row>
    <row r="35">
      <c r="A35" s="5" t="inlineStr">
        <is>
          <t>Sueldos y cargas sociales (base, 4 noches)</t>
        </is>
      </c>
      <c r="B35" s="12" t="n">
        <v>1600000</v>
      </c>
      <c r="C35" s="7" t="inlineStr">
        <is>
          <t>$/mes</t>
        </is>
      </c>
      <c r="D35" s="8" t="inlineStr"/>
    </row>
    <row r="36">
      <c r="A36" s="5" t="inlineStr">
        <is>
          <t>Personal de apoyo — 5ta noche</t>
        </is>
      </c>
      <c r="B36" s="12" t="n">
        <v>150000</v>
      </c>
      <c r="C36" s="7" t="inlineStr">
        <is>
          <t>$/mes</t>
        </is>
      </c>
      <c r="D36" s="8" t="inlineStr">
        <is>
          <t>Escala con la 5ta noche (turno extra de sala)</t>
        </is>
      </c>
    </row>
    <row r="37">
      <c r="A37" s="5" t="inlineStr">
        <is>
          <t>Servicios (luz/gas/agua/internet)</t>
        </is>
      </c>
      <c r="B37" s="12" t="n">
        <v>180000</v>
      </c>
      <c r="C37" s="7" t="inlineStr">
        <is>
          <t>$/mes</t>
        </is>
      </c>
      <c r="D37" s="8" t="inlineStr"/>
    </row>
    <row r="38">
      <c r="A38" s="5" t="inlineStr">
        <is>
          <t>Servicios extra — 5ta noche</t>
        </is>
      </c>
      <c r="B38" s="12" t="n">
        <v>15000</v>
      </c>
      <c r="C38" s="7" t="inlineStr">
        <is>
          <t>$/mes</t>
        </is>
      </c>
      <c r="D38" s="8" t="inlineStr">
        <is>
          <t>Escala con la 5ta noche</t>
        </is>
      </c>
    </row>
    <row r="39">
      <c r="A39" s="5" t="inlineStr">
        <is>
          <t>Impuestos y tasas municipales</t>
        </is>
      </c>
      <c r="B39" s="12" t="n">
        <v>90000</v>
      </c>
      <c r="C39" s="7" t="inlineStr">
        <is>
          <t>$/mes</t>
        </is>
      </c>
      <c r="D39" s="8" t="inlineStr"/>
    </row>
    <row r="40">
      <c r="A40" s="5" t="inlineStr">
        <is>
          <t>Seguro</t>
        </is>
      </c>
      <c r="B40" s="12" t="n">
        <v>35000</v>
      </c>
      <c r="C40" s="7" t="inlineStr">
        <is>
          <t>$/mes</t>
        </is>
      </c>
      <c r="D40" s="8" t="inlineStr"/>
    </row>
    <row r="41">
      <c r="A41" s="5" t="inlineStr">
        <is>
          <t>Contador</t>
        </is>
      </c>
      <c r="B41" s="12" t="n">
        <v>70000</v>
      </c>
      <c r="C41" s="7" t="inlineStr">
        <is>
          <t>$/mes</t>
        </is>
      </c>
      <c r="D41" s="8" t="inlineStr"/>
    </row>
    <row r="42">
      <c r="A42" s="5" t="inlineStr">
        <is>
          <t>Mantenimiento dispenser Redsack</t>
        </is>
      </c>
      <c r="B42" s="12" t="n">
        <v>40000</v>
      </c>
      <c r="C42" s="7" t="inlineStr">
        <is>
          <t>$/mes</t>
        </is>
      </c>
      <c r="D42" s="8" t="inlineStr"/>
    </row>
    <row r="43">
      <c r="A43" s="5" t="inlineStr">
        <is>
          <t>Marketing / redes</t>
        </is>
      </c>
      <c r="B43" s="12" t="n">
        <v>60000</v>
      </c>
      <c r="C43" s="7" t="inlineStr">
        <is>
          <t>$/mes</t>
        </is>
      </c>
      <c r="D43" s="8" t="inlineStr"/>
    </row>
    <row r="44">
      <c r="A44" s="5" t="inlineStr">
        <is>
          <t>Costo fijo mensual de referencia (piso del dueño, a validar)</t>
        </is>
      </c>
      <c r="B44" s="12" t="n">
        <v>3000000</v>
      </c>
      <c r="C44" s="7" t="inlineStr">
        <is>
          <t>$/mes</t>
        </is>
      </c>
      <c r="D44" s="8" t="inlineStr">
        <is>
          <t>Punto de partida — compará contra el total calculado en hoja 5</t>
        </is>
      </c>
    </row>
    <row r="46" ht="18" customHeight="1">
      <c r="A46" s="4" t="inlineStr">
        <is>
          <t>COSTOS VARIABLES</t>
        </is>
      </c>
      <c r="B46" s="2" t="n"/>
      <c r="C46" s="2" t="n"/>
      <c r="D46" s="2" t="n"/>
    </row>
    <row r="47">
      <c r="A47" s="5" t="inlineStr">
        <is>
          <t>Insumos de limpieza por noche operada</t>
        </is>
      </c>
      <c r="B47" s="12" t="n">
        <v>3500</v>
      </c>
      <c r="C47" s="7" t="inlineStr">
        <is>
          <t>$/noche</t>
        </is>
      </c>
      <c r="D47" s="8" t="inlineStr">
        <is>
          <t>Escala con noches operadas (incluida la 5ta)</t>
        </is>
      </c>
    </row>
    <row r="48">
      <c r="A48" s="5" t="inlineStr">
        <is>
          <t>Costo de reposición por copa rota</t>
        </is>
      </c>
      <c r="B48" s="12" t="n">
        <v>900</v>
      </c>
      <c r="C48" s="7" t="inlineStr">
        <is>
          <t>$/copa</t>
        </is>
      </c>
      <c r="D48" s="8" t="inlineStr"/>
    </row>
    <row r="49">
      <c r="A49" s="5" t="inlineStr">
        <is>
          <t>% roturas de cristalería s/copas servidas</t>
        </is>
      </c>
      <c r="B49" s="11" t="n">
        <v>0.01</v>
      </c>
      <c r="C49" s="7" t="inlineStr">
        <is>
          <t>%</t>
        </is>
      </c>
      <c r="D49" s="8" t="inlineStr"/>
    </row>
    <row r="50">
      <c r="A50" s="5" t="inlineStr">
        <is>
          <t>% comisión medios de pago</t>
        </is>
      </c>
      <c r="B50" s="14" t="n">
        <v>0.035</v>
      </c>
      <c r="C50" s="7" t="inlineStr">
        <is>
          <t>% s/factur.</t>
        </is>
      </c>
      <c r="D50" s="8" t="inlineStr"/>
    </row>
    <row r="52" ht="18" customHeight="1">
      <c r="A52" s="4" t="inlineStr">
        <is>
          <t>OTROS INGRESOS</t>
        </is>
      </c>
      <c r="B52" s="2" t="n"/>
      <c r="C52" s="2" t="n"/>
      <c r="D52" s="2" t="n"/>
    </row>
    <row r="53">
      <c r="A53" s="5" t="inlineStr">
        <is>
          <t>Club de socios — cantidad mes 1</t>
        </is>
      </c>
      <c r="B53" s="6" t="n">
        <v>5</v>
      </c>
      <c r="C53" s="7" t="inlineStr">
        <is>
          <t>socios</t>
        </is>
      </c>
      <c r="D53" s="8" t="inlineStr"/>
    </row>
    <row r="54">
      <c r="A54" s="5" t="inlineStr">
        <is>
          <t>Club de socios — cantidad mes 12</t>
        </is>
      </c>
      <c r="B54" s="6" t="n">
        <v>18</v>
      </c>
      <c r="C54" s="7" t="inlineStr">
        <is>
          <t>socios</t>
        </is>
      </c>
      <c r="D54" s="8" t="inlineStr">
        <is>
          <t>Conservador dentro del rango 5–25 en año 1</t>
        </is>
      </c>
    </row>
    <row r="55">
      <c r="A55" s="5" t="inlineStr">
        <is>
          <t>Club de socios — cuota promedio</t>
        </is>
      </c>
      <c r="B55" s="12" t="n">
        <v>12000</v>
      </c>
      <c r="C55" s="7" t="inlineStr">
        <is>
          <t>$/mes</t>
        </is>
      </c>
      <c r="D55" s="8" t="inlineStr">
        <is>
          <t>Conservador dentro del rango $10.000–$25.000</t>
        </is>
      </c>
    </row>
    <row r="56">
      <c r="A56" s="5" t="inlineStr">
        <is>
          <t>% de clientes que piden tapeo</t>
        </is>
      </c>
      <c r="B56" s="11" t="n">
        <v>0.35</v>
      </c>
      <c r="C56" s="7" t="inlineStr">
        <is>
          <t>%</t>
        </is>
      </c>
      <c r="D56" s="8" t="inlineStr"/>
    </row>
    <row r="57">
      <c r="A57" s="5" t="inlineStr">
        <is>
          <t>Ingreso por eventos (alquiler del espacio)</t>
        </is>
      </c>
      <c r="B57" s="12" t="n">
        <v>80000</v>
      </c>
      <c r="C57" s="7" t="inlineStr">
        <is>
          <t>$/mes</t>
        </is>
      </c>
      <c r="D57" s="8" t="inlineStr">
        <is>
          <t>Conservador — no todos los meses hay evento</t>
        </is>
      </c>
    </row>
    <row r="59" ht="18" customHeight="1">
      <c r="A59" s="4" t="inlineStr">
        <is>
          <t>INFLACIÓN</t>
        </is>
      </c>
      <c r="B59" s="2" t="n"/>
      <c r="C59" s="2" t="n"/>
      <c r="D59" s="2" t="n"/>
    </row>
    <row r="60">
      <c r="A60" s="5" t="inlineStr">
        <is>
          <t>Inflación mensual estimada</t>
        </is>
      </c>
      <c r="B60" s="14" t="n">
        <v>0.03</v>
      </c>
      <c r="C60" s="7" t="inlineStr">
        <is>
          <t>% mensual</t>
        </is>
      </c>
      <c r="D60" s="8" t="inlineStr">
        <is>
          <t>Se aplica a costos en la proyección P&amp;L; precios de venta quedan fijos (conservador: erosiona margen)</t>
        </is>
      </c>
    </row>
    <row r="62" ht="18" customHeight="1">
      <c r="A62" s="4" t="inlineStr">
        <is>
          <t>ESTACIONALIDAD MAR DEL PLATA (índice s/mes base)</t>
        </is>
      </c>
      <c r="B62" s="2" t="n"/>
      <c r="C62" s="2" t="n"/>
      <c r="D62" s="2" t="n"/>
    </row>
    <row r="63">
      <c r="A63" s="5" t="inlineStr">
        <is>
          <t>Pico dic–mar / valle abr–jun y sep–nov / jul–ago meses medios</t>
        </is>
      </c>
    </row>
    <row r="64">
      <c r="A64" s="15" t="inlineStr">
        <is>
          <t>Ene</t>
        </is>
      </c>
      <c r="B64" s="13" t="n">
        <v>1.15</v>
      </c>
      <c r="C64" s="15" t="inlineStr">
        <is>
          <t>Feb</t>
        </is>
      </c>
      <c r="D64" s="13" t="n">
        <v>1.15</v>
      </c>
    </row>
    <row r="65">
      <c r="A65" s="15" t="inlineStr">
        <is>
          <t>Mar</t>
        </is>
      </c>
      <c r="B65" s="13" t="n">
        <v>1.05</v>
      </c>
      <c r="C65" s="15" t="inlineStr">
        <is>
          <t>Abr</t>
        </is>
      </c>
      <c r="D65" s="13" t="n">
        <v>0.85</v>
      </c>
    </row>
    <row r="66">
      <c r="A66" s="15" t="inlineStr">
        <is>
          <t>May</t>
        </is>
      </c>
      <c r="B66" s="13" t="n">
        <v>0.8</v>
      </c>
      <c r="C66" s="15" t="inlineStr">
        <is>
          <t>Jun</t>
        </is>
      </c>
      <c r="D66" s="13" t="n">
        <v>0.8</v>
      </c>
    </row>
    <row r="67">
      <c r="A67" s="15" t="inlineStr">
        <is>
          <t>Jul</t>
        </is>
      </c>
      <c r="B67" s="13" t="n">
        <v>1</v>
      </c>
      <c r="C67" s="15" t="inlineStr">
        <is>
          <t>Ago</t>
        </is>
      </c>
      <c r="D67" s="13" t="n">
        <v>1</v>
      </c>
    </row>
    <row r="68">
      <c r="A68" s="15" t="inlineStr">
        <is>
          <t>Sep</t>
        </is>
      </c>
      <c r="B68" s="13" t="n">
        <v>0.85</v>
      </c>
      <c r="C68" s="15" t="inlineStr">
        <is>
          <t>Oct</t>
        </is>
      </c>
      <c r="D68" s="13" t="n">
        <v>0.85</v>
      </c>
    </row>
    <row r="69">
      <c r="A69" s="15" t="inlineStr">
        <is>
          <t>Nov</t>
        </is>
      </c>
      <c r="B69" s="13" t="n">
        <v>0.85</v>
      </c>
      <c r="C69" s="15" t="inlineStr">
        <is>
          <t>Dic</t>
        </is>
      </c>
      <c r="D69" s="13" t="n">
        <v>1.15</v>
      </c>
    </row>
    <row r="71">
      <c r="A71" s="16" t="n"/>
      <c r="B71" s="16" t="n"/>
      <c r="C71" s="16" t="n"/>
      <c r="D71" s="16" t="n"/>
    </row>
  </sheetData>
  <mergeCells count="10">
    <mergeCell ref="A1:D1"/>
    <mergeCell ref="A17:D17"/>
    <mergeCell ref="A27:D27"/>
    <mergeCell ref="A12:D12"/>
    <mergeCell ref="A62:D62"/>
    <mergeCell ref="A3:D3"/>
    <mergeCell ref="A52:D52"/>
    <mergeCell ref="A59:D59"/>
    <mergeCell ref="A33:D33"/>
    <mergeCell ref="A46:D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zoomScale="10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4" customWidth="1" min="2" max="2"/>
    <col width="30" customWidth="1" min="3" max="3"/>
    <col width="13" customWidth="1" min="4" max="4"/>
    <col width="10" customWidth="1" min="5" max="5"/>
    <col width="12" customWidth="1" min="6" max="6"/>
    <col width="12" customWidth="1" min="7" max="7"/>
    <col width="12" customWidth="1" min="8" max="8"/>
    <col width="13" customWidth="1" min="9" max="9"/>
    <col width="11" customWidth="1" min="10" max="10"/>
    <col width="10" customWidth="1" min="11" max="11"/>
    <col width="12" customWidth="1" min="12" max="12"/>
    <col width="14" customWidth="1" min="13" max="13"/>
    <col width="15" customWidth="1" min="14" max="14"/>
  </cols>
  <sheetData>
    <row r="1" ht="22" customHeight="1">
      <c r="A1" s="1" t="inlineStr">
        <is>
          <t>CARTA SEMANAL — 14 vinos simultáneos (renovación semanal)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30" customHeight="1">
      <c r="A2" s="3" t="inlineStr">
        <is>
          <t>Bodega</t>
        </is>
      </c>
      <c r="B2" s="3" t="inlineStr">
        <is>
          <t>Etiqueta</t>
        </is>
      </c>
      <c r="C2" s="3" t="inlineStr">
        <is>
          <t>Varietal</t>
        </is>
      </c>
      <c r="D2" s="3" t="inlineStr">
        <is>
          <t>Precio
góndola</t>
        </is>
      </c>
      <c r="E2" s="3" t="inlineStr">
        <is>
          <t>Origen</t>
        </is>
      </c>
      <c r="F2" s="3" t="inlineStr">
        <is>
          <t>Costo real
botella</t>
        </is>
      </c>
      <c r="G2" s="3" t="inlineStr">
        <is>
          <t>Costo por
copa (teór.)</t>
        </is>
      </c>
      <c r="H2" s="3" t="inlineStr">
        <is>
          <t>Precio venta
calculado</t>
        </is>
      </c>
      <c r="I2" s="3" t="inlineStr">
        <is>
          <t>Precio
redondeado</t>
        </is>
      </c>
      <c r="J2" s="3" t="inlineStr">
        <is>
          <t>Margen $
por copa</t>
        </is>
      </c>
      <c r="K2" s="3" t="inlineStr">
        <is>
          <t>Margen %</t>
        </is>
      </c>
      <c r="L2" s="3" t="inlineStr">
        <is>
          <t>Copas est.
venta/sem</t>
        </is>
      </c>
      <c r="M2" s="3" t="inlineStr">
        <is>
          <t>Ingreso
proyectado</t>
        </is>
      </c>
      <c r="N2" s="3" t="inlineStr">
        <is>
          <t>Contribución
marginal</t>
        </is>
      </c>
    </row>
    <row r="3">
      <c r="A3" s="17" t="inlineStr">
        <is>
          <t>Reinero</t>
        </is>
      </c>
      <c r="B3" s="17" t="inlineStr">
        <is>
          <t>Reinero Nazareno Malbec</t>
        </is>
      </c>
      <c r="C3" s="17" t="inlineStr">
        <is>
          <t>100% Malbec</t>
        </is>
      </c>
      <c r="D3" s="12" t="n">
        <v>9900</v>
      </c>
      <c r="E3" s="18" t="inlineStr">
        <is>
          <t>socia</t>
        </is>
      </c>
      <c r="F3" s="19">
        <f>IF(E3="socia",0,D3*PctCostoVinoPropio)</f>
        <v/>
      </c>
      <c r="G3" s="20">
        <f>F3/CopasTeoricasPorBotella</f>
        <v/>
      </c>
      <c r="H3" s="20">
        <f>(D3/CopasTeoricasPorBotella)*IF(D3&lt;=Tier1Limite,Tier1Markup,IF(D3&lt;=Tier2Limite,Tier2Markup,IF(D3&lt;=Tier3Limite,Tier3Markup,Tier4Markup)))</f>
        <v/>
      </c>
      <c r="I3" s="19">
        <f>MROUND(H3,RedondeoA)</f>
        <v/>
      </c>
      <c r="J3" s="19">
        <f>I3-G3</f>
        <v/>
      </c>
      <c r="K3" s="21">
        <f>J3/I3</f>
        <v/>
      </c>
      <c r="L3" s="10">
        <f>(PersonasPorNocheBase*CopasPorPersona*NochesPorSemana)/VinosSimultaneos</f>
        <v/>
      </c>
      <c r="M3" s="19">
        <f>L3*I3</f>
        <v/>
      </c>
      <c r="N3" s="19">
        <f>L3*J3</f>
        <v/>
      </c>
    </row>
    <row r="4">
      <c r="A4" s="17" t="inlineStr">
        <is>
          <t>Dharma Wines</t>
        </is>
      </c>
      <c r="B4" s="17" t="inlineStr">
        <is>
          <t>Kamala Pinot Noir</t>
        </is>
      </c>
      <c r="C4" s="17" t="inlineStr">
        <is>
          <t>100% Pinot Noir</t>
        </is>
      </c>
      <c r="D4" s="12" t="n">
        <v>14600</v>
      </c>
      <c r="E4" s="18" t="inlineStr">
        <is>
          <t>compra</t>
        </is>
      </c>
      <c r="F4" s="19">
        <f>IF(E4="socia",0,D4*PctCostoVinoPropio)</f>
        <v/>
      </c>
      <c r="G4" s="20">
        <f>F4/CopasTeoricasPorBotella</f>
        <v/>
      </c>
      <c r="H4" s="20">
        <f>(D4/CopasTeoricasPorBotella)*IF(D4&lt;=Tier1Limite,Tier1Markup,IF(D4&lt;=Tier2Limite,Tier2Markup,IF(D4&lt;=Tier3Limite,Tier3Markup,Tier4Markup)))</f>
        <v/>
      </c>
      <c r="I4" s="19">
        <f>MROUND(H4,RedondeoA)</f>
        <v/>
      </c>
      <c r="J4" s="19">
        <f>I4-G4</f>
        <v/>
      </c>
      <c r="K4" s="21">
        <f>J4/I4</f>
        <v/>
      </c>
      <c r="L4" s="10">
        <f>(PersonasPorNocheBase*CopasPorPersona*NochesPorSemana)/VinosSimultaneos</f>
        <v/>
      </c>
      <c r="M4" s="19">
        <f>L4*I4</f>
        <v/>
      </c>
      <c r="N4" s="19">
        <f>L4*J4</f>
        <v/>
      </c>
    </row>
    <row r="5">
      <c r="A5" s="17" t="inlineStr">
        <is>
          <t>Ricominciare</t>
        </is>
      </c>
      <c r="B5" s="17" t="inlineStr">
        <is>
          <t>Ricominciare Malbec</t>
        </is>
      </c>
      <c r="C5" s="17" t="inlineStr">
        <is>
          <t>100% Malbec</t>
        </is>
      </c>
      <c r="D5" s="12" t="n">
        <v>16360</v>
      </c>
      <c r="E5" s="18" t="inlineStr">
        <is>
          <t>socia</t>
        </is>
      </c>
      <c r="F5" s="19">
        <f>IF(E5="socia",0,D5*PctCostoVinoPropio)</f>
        <v/>
      </c>
      <c r="G5" s="20">
        <f>F5/CopasTeoricasPorBotella</f>
        <v/>
      </c>
      <c r="H5" s="20">
        <f>(D5/CopasTeoricasPorBotella)*IF(D5&lt;=Tier1Limite,Tier1Markup,IF(D5&lt;=Tier2Limite,Tier2Markup,IF(D5&lt;=Tier3Limite,Tier3Markup,Tier4Markup)))</f>
        <v/>
      </c>
      <c r="I5" s="19">
        <f>MROUND(H5,RedondeoA)</f>
        <v/>
      </c>
      <c r="J5" s="19">
        <f>I5-G5</f>
        <v/>
      </c>
      <c r="K5" s="21">
        <f>J5/I5</f>
        <v/>
      </c>
      <c r="L5" s="10">
        <f>(PersonasPorNocheBase*CopasPorPersona*NochesPorSemana)/VinosSimultaneos</f>
        <v/>
      </c>
      <c r="M5" s="19">
        <f>L5*I5</f>
        <v/>
      </c>
      <c r="N5" s="19">
        <f>L5*J5</f>
        <v/>
      </c>
    </row>
    <row r="6">
      <c r="A6" s="17" t="inlineStr">
        <is>
          <t>Dharma Wines</t>
        </is>
      </c>
      <c r="B6" s="17" t="inlineStr">
        <is>
          <t>Kamala Cabernet Franc</t>
        </is>
      </c>
      <c r="C6" s="17" t="inlineStr">
        <is>
          <t>100% Cabernet Franc</t>
        </is>
      </c>
      <c r="D6" s="12" t="n">
        <v>13700</v>
      </c>
      <c r="E6" s="18" t="inlineStr">
        <is>
          <t>compra</t>
        </is>
      </c>
      <c r="F6" s="19">
        <f>IF(E6="socia",0,D6*PctCostoVinoPropio)</f>
        <v/>
      </c>
      <c r="G6" s="20">
        <f>F6/CopasTeoricasPorBotella</f>
        <v/>
      </c>
      <c r="H6" s="20">
        <f>(D6/CopasTeoricasPorBotella)*IF(D6&lt;=Tier1Limite,Tier1Markup,IF(D6&lt;=Tier2Limite,Tier2Markup,IF(D6&lt;=Tier3Limite,Tier3Markup,Tier4Markup)))</f>
        <v/>
      </c>
      <c r="I6" s="19">
        <f>MROUND(H6,RedondeoA)</f>
        <v/>
      </c>
      <c r="J6" s="19">
        <f>I6-G6</f>
        <v/>
      </c>
      <c r="K6" s="21">
        <f>J6/I6</f>
        <v/>
      </c>
      <c r="L6" s="10">
        <f>(PersonasPorNocheBase*CopasPorPersona*NochesPorSemana)/VinosSimultaneos</f>
        <v/>
      </c>
      <c r="M6" s="19">
        <f>L6*I6</f>
        <v/>
      </c>
      <c r="N6" s="19">
        <f>L6*J6</f>
        <v/>
      </c>
    </row>
    <row r="7">
      <c r="A7" s="17" t="inlineStr">
        <is>
          <t>Reinero</t>
        </is>
      </c>
      <c r="B7" s="17" t="inlineStr">
        <is>
          <t>Reinero Reserva Blend</t>
        </is>
      </c>
      <c r="C7" s="17" t="inlineStr">
        <is>
          <t>Malbec · Cabernet Franc · Merlot</t>
        </is>
      </c>
      <c r="D7" s="12" t="n">
        <v>12200</v>
      </c>
      <c r="E7" s="18" t="inlineStr">
        <is>
          <t>socia</t>
        </is>
      </c>
      <c r="F7" s="19">
        <f>IF(E7="socia",0,D7*PctCostoVinoPropio)</f>
        <v/>
      </c>
      <c r="G7" s="20">
        <f>F7/CopasTeoricasPorBotella</f>
        <v/>
      </c>
      <c r="H7" s="20">
        <f>(D7/CopasTeoricasPorBotella)*IF(D7&lt;=Tier1Limite,Tier1Markup,IF(D7&lt;=Tier2Limite,Tier2Markup,IF(D7&lt;=Tier3Limite,Tier3Markup,Tier4Markup)))</f>
        <v/>
      </c>
      <c r="I7" s="19">
        <f>MROUND(H7,RedondeoA)</f>
        <v/>
      </c>
      <c r="J7" s="19">
        <f>I7-G7</f>
        <v/>
      </c>
      <c r="K7" s="21">
        <f>J7/I7</f>
        <v/>
      </c>
      <c r="L7" s="10">
        <f>(PersonasPorNocheBase*CopasPorPersona*NochesPorSemana)/VinosSimultaneos</f>
        <v/>
      </c>
      <c r="M7" s="19">
        <f>L7*I7</f>
        <v/>
      </c>
      <c r="N7" s="19">
        <f>L7*J7</f>
        <v/>
      </c>
    </row>
    <row r="8">
      <c r="A8" s="17" t="inlineStr">
        <is>
          <t>Marchiori &amp; Barraud</t>
        </is>
      </c>
      <c r="B8" s="17" t="inlineStr">
        <is>
          <t>Marchiori &amp; Barraud Cabernet Sauvignon</t>
        </is>
      </c>
      <c r="C8" s="17" t="inlineStr">
        <is>
          <t>100% Cabernet Sauvignon</t>
        </is>
      </c>
      <c r="D8" s="12" t="n">
        <v>12600</v>
      </c>
      <c r="E8" s="18" t="inlineStr">
        <is>
          <t>compra</t>
        </is>
      </c>
      <c r="F8" s="19">
        <f>IF(E8="socia",0,D8*PctCostoVinoPropio)</f>
        <v/>
      </c>
      <c r="G8" s="20">
        <f>F8/CopasTeoricasPorBotella</f>
        <v/>
      </c>
      <c r="H8" s="20">
        <f>(D8/CopasTeoricasPorBotella)*IF(D8&lt;=Tier1Limite,Tier1Markup,IF(D8&lt;=Tier2Limite,Tier2Markup,IF(D8&lt;=Tier3Limite,Tier3Markup,Tier4Markup)))</f>
        <v/>
      </c>
      <c r="I8" s="19">
        <f>MROUND(H8,RedondeoA)</f>
        <v/>
      </c>
      <c r="J8" s="19">
        <f>I8-G8</f>
        <v/>
      </c>
      <c r="K8" s="21">
        <f>J8/I8</f>
        <v/>
      </c>
      <c r="L8" s="10">
        <f>(PersonasPorNocheBase*CopasPorPersona*NochesPorSemana)/VinosSimultaneos</f>
        <v/>
      </c>
      <c r="M8" s="19">
        <f>L8*I8</f>
        <v/>
      </c>
      <c r="N8" s="19">
        <f>L8*J8</f>
        <v/>
      </c>
    </row>
    <row r="9">
      <c r="A9" s="17" t="inlineStr">
        <is>
          <t>Alta Vista</t>
        </is>
      </c>
      <c r="B9" s="17" t="inlineStr">
        <is>
          <t>Alta Vista Estate Pinot Noir</t>
        </is>
      </c>
      <c r="C9" s="17" t="inlineStr">
        <is>
          <t>100% Pinot Noir</t>
        </is>
      </c>
      <c r="D9" s="12" t="n">
        <v>15000</v>
      </c>
      <c r="E9" s="18" t="inlineStr">
        <is>
          <t>socia</t>
        </is>
      </c>
      <c r="F9" s="19">
        <f>IF(E9="socia",0,D9*PctCostoVinoPropio)</f>
        <v/>
      </c>
      <c r="G9" s="20">
        <f>F9/CopasTeoricasPorBotella</f>
        <v/>
      </c>
      <c r="H9" s="20">
        <f>(D9/CopasTeoricasPorBotella)*IF(D9&lt;=Tier1Limite,Tier1Markup,IF(D9&lt;=Tier2Limite,Tier2Markup,IF(D9&lt;=Tier3Limite,Tier3Markup,Tier4Markup)))</f>
        <v/>
      </c>
      <c r="I9" s="19">
        <f>MROUND(H9,RedondeoA)</f>
        <v/>
      </c>
      <c r="J9" s="19">
        <f>I9-G9</f>
        <v/>
      </c>
      <c r="K9" s="21">
        <f>J9/I9</f>
        <v/>
      </c>
      <c r="L9" s="10">
        <f>(PersonasPorNocheBase*CopasPorPersona*NochesPorSemana)/VinosSimultaneos</f>
        <v/>
      </c>
      <c r="M9" s="19">
        <f>L9*I9</f>
        <v/>
      </c>
      <c r="N9" s="19">
        <f>L9*J9</f>
        <v/>
      </c>
    </row>
    <row r="10">
      <c r="A10" s="17" t="inlineStr">
        <is>
          <t>Alta Vista</t>
        </is>
      </c>
      <c r="B10" s="17" t="inlineStr">
        <is>
          <t>VIVE Red Blend</t>
        </is>
      </c>
      <c r="C10" s="17" t="inlineStr">
        <is>
          <t>Malbec · Cabernet Sauvignon · Syrah</t>
        </is>
      </c>
      <c r="D10" s="12" t="n">
        <v>12500</v>
      </c>
      <c r="E10" s="18" t="inlineStr">
        <is>
          <t>compra</t>
        </is>
      </c>
      <c r="F10" s="19">
        <f>IF(E10="socia",0,D10*PctCostoVinoPropio)</f>
        <v/>
      </c>
      <c r="G10" s="20">
        <f>F10/CopasTeoricasPorBotella</f>
        <v/>
      </c>
      <c r="H10" s="20">
        <f>(D10/CopasTeoricasPorBotella)*IF(D10&lt;=Tier1Limite,Tier1Markup,IF(D10&lt;=Tier2Limite,Tier2Markup,IF(D10&lt;=Tier3Limite,Tier3Markup,Tier4Markup)))</f>
        <v/>
      </c>
      <c r="I10" s="19">
        <f>MROUND(H10,RedondeoA)</f>
        <v/>
      </c>
      <c r="J10" s="19">
        <f>I10-G10</f>
        <v/>
      </c>
      <c r="K10" s="21">
        <f>J10/I10</f>
        <v/>
      </c>
      <c r="L10" s="10">
        <f>(PersonasPorNocheBase*CopasPorPersona*NochesPorSemana)/VinosSimultaneos</f>
        <v/>
      </c>
      <c r="M10" s="19">
        <f>L10*I10</f>
        <v/>
      </c>
      <c r="N10" s="19">
        <f>L10*J10</f>
        <v/>
      </c>
    </row>
    <row r="11">
      <c r="A11" s="17" t="inlineStr">
        <is>
          <t>Gimenez Riili</t>
        </is>
      </c>
      <c r="B11" s="17" t="inlineStr">
        <is>
          <t>De Nos Blend de Blancas</t>
        </is>
      </c>
      <c r="C11" s="17" t="inlineStr">
        <is>
          <t>Pedro Ximénez 65% · Riesling 35%</t>
        </is>
      </c>
      <c r="D11" s="12" t="n">
        <v>11700</v>
      </c>
      <c r="E11" s="18" t="inlineStr">
        <is>
          <t>socia</t>
        </is>
      </c>
      <c r="F11" s="19">
        <f>IF(E11="socia",0,D11*PctCostoVinoPropio)</f>
        <v/>
      </c>
      <c r="G11" s="20">
        <f>F11/CopasTeoricasPorBotella</f>
        <v/>
      </c>
      <c r="H11" s="20">
        <f>(D11/CopasTeoricasPorBotella)*IF(D11&lt;=Tier1Limite,Tier1Markup,IF(D11&lt;=Tier2Limite,Tier2Markup,IF(D11&lt;=Tier3Limite,Tier3Markup,Tier4Markup)))</f>
        <v/>
      </c>
      <c r="I11" s="19">
        <f>MROUND(H11,RedondeoA)</f>
        <v/>
      </c>
      <c r="J11" s="19">
        <f>I11-G11</f>
        <v/>
      </c>
      <c r="K11" s="21">
        <f>J11/I11</f>
        <v/>
      </c>
      <c r="L11" s="10">
        <f>(PersonasPorNocheBase*CopasPorPersona*NochesPorSemana)/VinosSimultaneos</f>
        <v/>
      </c>
      <c r="M11" s="19">
        <f>L11*I11</f>
        <v/>
      </c>
      <c r="N11" s="19">
        <f>L11*J11</f>
        <v/>
      </c>
    </row>
    <row r="12">
      <c r="A12" s="17" t="inlineStr">
        <is>
          <t>Kaiken</t>
        </is>
      </c>
      <c r="B12" s="17" t="inlineStr">
        <is>
          <t>Kaiken Ultra Chardonnay</t>
        </is>
      </c>
      <c r="C12" s="17" t="inlineStr">
        <is>
          <t>100% Chardonnay</t>
        </is>
      </c>
      <c r="D12" s="12" t="n">
        <v>24500</v>
      </c>
      <c r="E12" s="18" t="inlineStr">
        <is>
          <t>compra</t>
        </is>
      </c>
      <c r="F12" s="19">
        <f>IF(E12="socia",0,D12*PctCostoVinoPropio)</f>
        <v/>
      </c>
      <c r="G12" s="20">
        <f>F12/CopasTeoricasPorBotella</f>
        <v/>
      </c>
      <c r="H12" s="20">
        <f>(D12/CopasTeoricasPorBotella)*IF(D12&lt;=Tier1Limite,Tier1Markup,IF(D12&lt;=Tier2Limite,Tier2Markup,IF(D12&lt;=Tier3Limite,Tier3Markup,Tier4Markup)))</f>
        <v/>
      </c>
      <c r="I12" s="19">
        <f>MROUND(H12,RedondeoA)</f>
        <v/>
      </c>
      <c r="J12" s="19">
        <f>I12-G12</f>
        <v/>
      </c>
      <c r="K12" s="21">
        <f>J12/I12</f>
        <v/>
      </c>
      <c r="L12" s="10">
        <f>(PersonasPorNocheBase*CopasPorPersona*NochesPorSemana)/VinosSimultaneos</f>
        <v/>
      </c>
      <c r="M12" s="19">
        <f>L12*I12</f>
        <v/>
      </c>
      <c r="N12" s="19">
        <f>L12*J12</f>
        <v/>
      </c>
    </row>
    <row r="13">
      <c r="A13" s="17" t="inlineStr">
        <is>
          <t>Gimenez Riili</t>
        </is>
      </c>
      <c r="B13" s="17" t="inlineStr">
        <is>
          <t>Nietos Compañeros Blend Rosado</t>
        </is>
      </c>
      <c r="C13" s="17" t="inlineStr">
        <is>
          <t>Blend de rosados</t>
        </is>
      </c>
      <c r="D13" s="12" t="n">
        <v>16100</v>
      </c>
      <c r="E13" s="18" t="inlineStr">
        <is>
          <t>socia</t>
        </is>
      </c>
      <c r="F13" s="19">
        <f>IF(E13="socia",0,D13*PctCostoVinoPropio)</f>
        <v/>
      </c>
      <c r="G13" s="20">
        <f>F13/CopasTeoricasPorBotella</f>
        <v/>
      </c>
      <c r="H13" s="20">
        <f>(D13/CopasTeoricasPorBotella)*IF(D13&lt;=Tier1Limite,Tier1Markup,IF(D13&lt;=Tier2Limite,Tier2Markup,IF(D13&lt;=Tier3Limite,Tier3Markup,Tier4Markup)))</f>
        <v/>
      </c>
      <c r="I13" s="19">
        <f>MROUND(H13,RedondeoA)</f>
        <v/>
      </c>
      <c r="J13" s="19">
        <f>I13-G13</f>
        <v/>
      </c>
      <c r="K13" s="21">
        <f>J13/I13</f>
        <v/>
      </c>
      <c r="L13" s="10">
        <f>(PersonasPorNocheBase*CopasPorPersona*NochesPorSemana)/VinosSimultaneos</f>
        <v/>
      </c>
      <c r="M13" s="19">
        <f>L13*I13</f>
        <v/>
      </c>
      <c r="N13" s="19">
        <f>L13*J13</f>
        <v/>
      </c>
    </row>
    <row r="14">
      <c r="A14" s="17" t="inlineStr">
        <is>
          <t>Uruco Wines</t>
        </is>
      </c>
      <c r="B14" s="17" t="inlineStr">
        <is>
          <t>Finca El Peral Rosé</t>
        </is>
      </c>
      <c r="C14" s="17" t="inlineStr">
        <is>
          <t>Cabernet Franc</t>
        </is>
      </c>
      <c r="D14" s="12" t="n">
        <v>12000</v>
      </c>
      <c r="E14" s="18" t="inlineStr">
        <is>
          <t>compra</t>
        </is>
      </c>
      <c r="F14" s="19">
        <f>IF(E14="socia",0,D14*PctCostoVinoPropio)</f>
        <v/>
      </c>
      <c r="G14" s="20">
        <f>F14/CopasTeoricasPorBotella</f>
        <v/>
      </c>
      <c r="H14" s="20">
        <f>(D14/CopasTeoricasPorBotella)*IF(D14&lt;=Tier1Limite,Tier1Markup,IF(D14&lt;=Tier2Limite,Tier2Markup,IF(D14&lt;=Tier3Limite,Tier3Markup,Tier4Markup)))</f>
        <v/>
      </c>
      <c r="I14" s="19">
        <f>MROUND(H14,RedondeoA)</f>
        <v/>
      </c>
      <c r="J14" s="19">
        <f>I14-G14</f>
        <v/>
      </c>
      <c r="K14" s="21">
        <f>J14/I14</f>
        <v/>
      </c>
      <c r="L14" s="10">
        <f>(PersonasPorNocheBase*CopasPorPersona*NochesPorSemana)/VinosSimultaneos</f>
        <v/>
      </c>
      <c r="M14" s="19">
        <f>L14*I14</f>
        <v/>
      </c>
      <c r="N14" s="19">
        <f>L14*J14</f>
        <v/>
      </c>
    </row>
    <row r="15">
      <c r="A15" s="17" t="inlineStr">
        <is>
          <t>Reinero</t>
        </is>
      </c>
      <c r="B15" s="17" t="inlineStr">
        <is>
          <t>Reinero Nazareno Cabernet Sauvignon</t>
        </is>
      </c>
      <c r="C15" s="17" t="inlineStr">
        <is>
          <t>100% Cabernet Sauvignon</t>
        </is>
      </c>
      <c r="D15" s="12" t="n">
        <v>9900</v>
      </c>
      <c r="E15" s="18" t="inlineStr">
        <is>
          <t>socia</t>
        </is>
      </c>
      <c r="F15" s="19">
        <f>IF(E15="socia",0,D15*PctCostoVinoPropio)</f>
        <v/>
      </c>
      <c r="G15" s="20">
        <f>F15/CopasTeoricasPorBotella</f>
        <v/>
      </c>
      <c r="H15" s="20">
        <f>(D15/CopasTeoricasPorBotella)*IF(D15&lt;=Tier1Limite,Tier1Markup,IF(D15&lt;=Tier2Limite,Tier2Markup,IF(D15&lt;=Tier3Limite,Tier3Markup,Tier4Markup)))</f>
        <v/>
      </c>
      <c r="I15" s="19">
        <f>MROUND(H15,RedondeoA)</f>
        <v/>
      </c>
      <c r="J15" s="19">
        <f>I15-G15</f>
        <v/>
      </c>
      <c r="K15" s="21">
        <f>J15/I15</f>
        <v/>
      </c>
      <c r="L15" s="10">
        <f>(PersonasPorNocheBase*CopasPorPersona*NochesPorSemana)/VinosSimultaneos</f>
        <v/>
      </c>
      <c r="M15" s="19">
        <f>L15*I15</f>
        <v/>
      </c>
      <c r="N15" s="19">
        <f>L15*J15</f>
        <v/>
      </c>
    </row>
    <row r="16">
      <c r="A16" s="17" t="inlineStr">
        <is>
          <t>Collovatti</t>
        </is>
      </c>
      <c r="B16" s="17" t="inlineStr">
        <is>
          <t>Collovati Malbec</t>
        </is>
      </c>
      <c r="C16" s="17" t="inlineStr">
        <is>
          <t>100% Malbec</t>
        </is>
      </c>
      <c r="D16" s="12" t="n">
        <v>20150</v>
      </c>
      <c r="E16" s="18" t="inlineStr">
        <is>
          <t>compra</t>
        </is>
      </c>
      <c r="F16" s="19">
        <f>IF(E16="socia",0,D16*PctCostoVinoPropio)</f>
        <v/>
      </c>
      <c r="G16" s="20">
        <f>F16/CopasTeoricasPorBotella</f>
        <v/>
      </c>
      <c r="H16" s="20">
        <f>(D16/CopasTeoricasPorBotella)*IF(D16&lt;=Tier1Limite,Tier1Markup,IF(D16&lt;=Tier2Limite,Tier2Markup,IF(D16&lt;=Tier3Limite,Tier3Markup,Tier4Markup)))</f>
        <v/>
      </c>
      <c r="I16" s="19">
        <f>MROUND(H16,RedondeoA)</f>
        <v/>
      </c>
      <c r="J16" s="19">
        <f>I16-G16</f>
        <v/>
      </c>
      <c r="K16" s="21">
        <f>J16/I16</f>
        <v/>
      </c>
      <c r="L16" s="10">
        <f>(PersonasPorNocheBase*CopasPorPersona*NochesPorSemana)/VinosSimultaneos</f>
        <v/>
      </c>
      <c r="M16" s="19">
        <f>L16*I16</f>
        <v/>
      </c>
      <c r="N16" s="19">
        <f>L16*J16</f>
        <v/>
      </c>
    </row>
    <row r="17">
      <c r="A17" s="22" t="inlineStr">
        <is>
          <t>TOTAL / PROMEDIO</t>
        </is>
      </c>
      <c r="B17" s="23" t="n"/>
      <c r="C17" s="23" t="n"/>
      <c r="D17" s="24">
        <f>AVERAGE(D3:D16)</f>
        <v/>
      </c>
      <c r="E17" s="25" t="n"/>
      <c r="F17" s="24">
        <f>AVERAGE(F3:F16)</f>
        <v/>
      </c>
      <c r="G17" s="24">
        <f>AVERAGE(G3:G16)</f>
        <v/>
      </c>
      <c r="H17" s="24">
        <f>AVERAGE(H3:H16)</f>
        <v/>
      </c>
      <c r="I17" s="24">
        <f>AVERAGE(I3:I16)</f>
        <v/>
      </c>
      <c r="J17" s="24">
        <f>AVERAGE(J3:J16)</f>
        <v/>
      </c>
      <c r="K17" s="26">
        <f>AVERAGE(K3:K16)</f>
        <v/>
      </c>
      <c r="L17" s="27">
        <f>SUM(L3:L16)</f>
        <v/>
      </c>
      <c r="M17" s="24">
        <f>SUM(M3:M16)</f>
        <v/>
      </c>
      <c r="N17" s="24">
        <f>SUM(N3:N16)</f>
        <v/>
      </c>
    </row>
    <row r="19">
      <c r="A19" s="28" t="inlineStr">
        <is>
          <t>Precio de venta promedio ponderado (referencia global)</t>
        </is>
      </c>
      <c r="I19" s="29">
        <f>AVERAGE(I3:I16)</f>
        <v/>
      </c>
    </row>
    <row r="20">
      <c r="A20" s="28" t="inlineStr">
        <is>
          <t>Costo por copa promedio — solo vinos de compra (teórico, referencia)</t>
        </is>
      </c>
      <c r="I20" s="30">
        <f>AVERAGEIF(E3:E16,"compra",G3:G16)</f>
        <v/>
      </c>
    </row>
    <row r="21">
      <c r="A21" s="28" t="inlineStr">
        <is>
          <t>Precio góndola promedio (referencia global, independiente del origen)</t>
        </is>
      </c>
      <c r="I21" s="29">
        <f>AVERAGE(D3:D16)</f>
        <v/>
      </c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</row>
  </sheetData>
  <mergeCells count="5">
    <mergeCell ref="A21:H21"/>
    <mergeCell ref="A20:H20"/>
    <mergeCell ref="A17:C17"/>
    <mergeCell ref="A19:H19"/>
    <mergeCell ref="A1:N1"/>
  </mergeCells>
  <conditionalFormatting sqref="K3:K16">
    <cfRule type="colorScale" priority="1">
      <colorScale>
        <cfvo type="min"/>
        <cfvo type="percentile" val="50"/>
        <cfvo type="max"/>
        <color rgb="00DEC9C6"/>
        <color rgb="00E8DFC0"/>
        <color rgb="00C7D6C2"/>
      </colorScale>
    </cfRule>
  </conditionalFormatting>
  <dataValidations count="1">
    <dataValidation sqref="E3:E16" showDropDown="0" showInputMessage="0" showErrorMessage="0" allowBlank="0" type="list">
      <formula1>"socia,compra"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0" zoomScale="100"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40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3" customWidth="1" min="10" max="10"/>
    <col width="13" customWidth="1" min="11" max="11"/>
  </cols>
  <sheetData>
    <row r="1" ht="22" customHeight="1">
      <c r="A1" s="1" t="inlineStr">
        <is>
          <t>MERMA Y CONTROL — rendimiento real de la botella</t>
        </is>
      </c>
      <c r="B1" s="2" t="n"/>
      <c r="C1" s="2" t="n"/>
    </row>
    <row r="2" ht="18" customHeight="1">
      <c r="A2" s="4" t="inlineStr">
        <is>
          <t>RENDIMIENTO REAL POR BOTELLA (copas efectivamente vendibles)</t>
        </is>
      </c>
      <c r="B2" s="2" t="n"/>
      <c r="C2" s="2" t="n"/>
    </row>
    <row r="3">
      <c r="A3" s="5" t="inlineStr">
        <is>
          <t>Copas teóricas por botella (750 ml ÷ 125 cc)</t>
        </is>
      </c>
      <c r="B3" s="31">
        <f>CopasTeoricasPorBotella</f>
        <v/>
      </c>
    </row>
    <row r="4">
      <c r="A4" s="5" t="inlineStr">
        <is>
          <t>Merma: cortesía a cliente / prensa</t>
        </is>
      </c>
      <c r="B4" s="32">
        <f>MermaCortesiaCopasPorBotella</f>
        <v/>
      </c>
    </row>
    <row r="5">
      <c r="A5" s="5" t="inlineStr">
        <is>
          <t>Merma: catación del sommelier</t>
        </is>
      </c>
      <c r="B5" s="32">
        <f>MermaCatacionCopasPorBotella</f>
        <v/>
      </c>
    </row>
    <row r="6">
      <c r="A6" s="5" t="inlineStr">
        <is>
          <t>Merma: sobrante de botella abierta no vendido</t>
        </is>
      </c>
      <c r="B6" s="32">
        <f>MermaSobranteCopasPorBotella</f>
        <v/>
      </c>
    </row>
    <row r="7">
      <c r="A7" s="5" t="inlineStr">
        <is>
          <t>Merma: roturas de cristalería (equivalente)</t>
        </is>
      </c>
      <c r="B7" s="32">
        <f>MermaRoturasCopasPorBotella</f>
        <v/>
      </c>
    </row>
    <row r="8">
      <c r="A8" s="33" t="inlineStr">
        <is>
          <t>Total merma (copas/botella)</t>
        </is>
      </c>
      <c r="B8" s="34">
        <f>SUM(B4:B7)</f>
        <v/>
      </c>
    </row>
    <row r="9">
      <c r="A9" s="33" t="inlineStr">
        <is>
          <t>Copas efectivamente vendibles por botella</t>
        </is>
      </c>
      <c r="B9" s="34">
        <f>B3-B8</f>
        <v/>
      </c>
    </row>
    <row r="10">
      <c r="A10" s="33" t="inlineStr">
        <is>
          <t>% de rendimiento real vs. teórico (6 copas)</t>
        </is>
      </c>
      <c r="B10" s="35">
        <f>B9/B3</f>
        <v/>
      </c>
    </row>
    <row r="12" ht="42" customHeight="1">
      <c r="A12" s="8" t="inlineStr">
        <is>
          <t>Con 5 noches de operación la rotación de cada botella abierta mejora (se vende más rápido, menos tiempo expuesta al aire) y el dispenser Redsack ya minimiza la oxidación por conservación con gas inerte — por eso la merma de 'sobrante no vendido' se cargó en el extremo bajo del rango posible en el escenario base, no en el extremo alto.</t>
        </is>
      </c>
    </row>
    <row r="14">
      <c r="A14" s="16" t="n"/>
      <c r="B14" s="16" t="n"/>
      <c r="C14" s="16" t="n"/>
    </row>
    <row r="15" ht="18" customHeight="1">
      <c r="A15" s="4" t="inlineStr">
        <is>
          <t>IMPACTO EN EL MARGEN POR VINO (teórico 6 copas vs. rendimiento real)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 ht="30" customHeight="1">
      <c r="A16" s="3" t="inlineStr">
        <is>
          <t>Bodega</t>
        </is>
      </c>
      <c r="B16" s="3" t="inlineStr">
        <is>
          <t>Etiqueta</t>
        </is>
      </c>
      <c r="C16" s="3" t="inlineStr">
        <is>
          <t>Costo
botella</t>
        </is>
      </c>
      <c r="D16" s="3" t="inlineStr">
        <is>
          <t>Precio
redondeado</t>
        </is>
      </c>
      <c r="E16" s="3" t="inlineStr">
        <is>
          <t>Costo copa
(teórico, 6u)</t>
        </is>
      </c>
      <c r="F16" s="3" t="inlineStr">
        <is>
          <t>Costo copa
(real)</t>
        </is>
      </c>
      <c r="G16" s="3" t="inlineStr">
        <is>
          <t>Margen $
(teórico)</t>
        </is>
      </c>
      <c r="H16" s="3" t="inlineStr">
        <is>
          <t>Margen $
(real)</t>
        </is>
      </c>
      <c r="I16" s="3" t="inlineStr">
        <is>
          <t>Margen %
(real)</t>
        </is>
      </c>
      <c r="J16" s="3" t="inlineStr">
        <is>
          <t>Impacto
margen $/copa</t>
        </is>
      </c>
      <c r="K16" s="3" t="inlineStr">
        <is>
          <t>Impacto
margen p.p.</t>
        </is>
      </c>
    </row>
    <row r="17">
      <c r="A17" s="36">
        <f>'CARTA SEMANAL'!A3</f>
        <v/>
      </c>
      <c r="B17" s="36">
        <f>'CARTA SEMANAL'!B3</f>
        <v/>
      </c>
      <c r="C17" s="19">
        <f>'CARTA SEMANAL'!F3</f>
        <v/>
      </c>
      <c r="D17" s="19">
        <f>'CARTA SEMANAL'!I3</f>
        <v/>
      </c>
      <c r="E17" s="20">
        <f>'CARTA SEMANAL'!G3</f>
        <v/>
      </c>
      <c r="F17" s="20">
        <f>C17/RendimientoRealCopasPorBotella</f>
        <v/>
      </c>
      <c r="G17" s="19">
        <f>'CARTA SEMANAL'!J3</f>
        <v/>
      </c>
      <c r="H17" s="19">
        <f>D17-F17</f>
        <v/>
      </c>
      <c r="I17" s="21">
        <f>H17/D17</f>
        <v/>
      </c>
      <c r="J17" s="19">
        <f>H17-G17</f>
        <v/>
      </c>
      <c r="K17" s="21">
        <f>I17-'CARTA SEMANAL'!K3</f>
        <v/>
      </c>
    </row>
    <row r="18">
      <c r="A18" s="36">
        <f>'CARTA SEMANAL'!A4</f>
        <v/>
      </c>
      <c r="B18" s="36">
        <f>'CARTA SEMANAL'!B4</f>
        <v/>
      </c>
      <c r="C18" s="19">
        <f>'CARTA SEMANAL'!F4</f>
        <v/>
      </c>
      <c r="D18" s="19">
        <f>'CARTA SEMANAL'!I4</f>
        <v/>
      </c>
      <c r="E18" s="20">
        <f>'CARTA SEMANAL'!G4</f>
        <v/>
      </c>
      <c r="F18" s="20">
        <f>C18/RendimientoRealCopasPorBotella</f>
        <v/>
      </c>
      <c r="G18" s="19">
        <f>'CARTA SEMANAL'!J4</f>
        <v/>
      </c>
      <c r="H18" s="19">
        <f>D18-F18</f>
        <v/>
      </c>
      <c r="I18" s="21">
        <f>H18/D18</f>
        <v/>
      </c>
      <c r="J18" s="19">
        <f>H18-G18</f>
        <v/>
      </c>
      <c r="K18" s="21">
        <f>I18-'CARTA SEMANAL'!K4</f>
        <v/>
      </c>
    </row>
    <row r="19">
      <c r="A19" s="36">
        <f>'CARTA SEMANAL'!A5</f>
        <v/>
      </c>
      <c r="B19" s="36">
        <f>'CARTA SEMANAL'!B5</f>
        <v/>
      </c>
      <c r="C19" s="19">
        <f>'CARTA SEMANAL'!F5</f>
        <v/>
      </c>
      <c r="D19" s="19">
        <f>'CARTA SEMANAL'!I5</f>
        <v/>
      </c>
      <c r="E19" s="20">
        <f>'CARTA SEMANAL'!G5</f>
        <v/>
      </c>
      <c r="F19" s="20">
        <f>C19/RendimientoRealCopasPorBotella</f>
        <v/>
      </c>
      <c r="G19" s="19">
        <f>'CARTA SEMANAL'!J5</f>
        <v/>
      </c>
      <c r="H19" s="19">
        <f>D19-F19</f>
        <v/>
      </c>
      <c r="I19" s="21">
        <f>H19/D19</f>
        <v/>
      </c>
      <c r="J19" s="19">
        <f>H19-G19</f>
        <v/>
      </c>
      <c r="K19" s="21">
        <f>I19-'CARTA SEMANAL'!K5</f>
        <v/>
      </c>
    </row>
    <row r="20">
      <c r="A20" s="36">
        <f>'CARTA SEMANAL'!A6</f>
        <v/>
      </c>
      <c r="B20" s="36">
        <f>'CARTA SEMANAL'!B6</f>
        <v/>
      </c>
      <c r="C20" s="19">
        <f>'CARTA SEMANAL'!F6</f>
        <v/>
      </c>
      <c r="D20" s="19">
        <f>'CARTA SEMANAL'!I6</f>
        <v/>
      </c>
      <c r="E20" s="20">
        <f>'CARTA SEMANAL'!G6</f>
        <v/>
      </c>
      <c r="F20" s="20">
        <f>C20/RendimientoRealCopasPorBotella</f>
        <v/>
      </c>
      <c r="G20" s="19">
        <f>'CARTA SEMANAL'!J6</f>
        <v/>
      </c>
      <c r="H20" s="19">
        <f>D20-F20</f>
        <v/>
      </c>
      <c r="I20" s="21">
        <f>H20/D20</f>
        <v/>
      </c>
      <c r="J20" s="19">
        <f>H20-G20</f>
        <v/>
      </c>
      <c r="K20" s="21">
        <f>I20-'CARTA SEMANAL'!K6</f>
        <v/>
      </c>
    </row>
    <row r="21">
      <c r="A21" s="36">
        <f>'CARTA SEMANAL'!A7</f>
        <v/>
      </c>
      <c r="B21" s="36">
        <f>'CARTA SEMANAL'!B7</f>
        <v/>
      </c>
      <c r="C21" s="19">
        <f>'CARTA SEMANAL'!F7</f>
        <v/>
      </c>
      <c r="D21" s="19">
        <f>'CARTA SEMANAL'!I7</f>
        <v/>
      </c>
      <c r="E21" s="20">
        <f>'CARTA SEMANAL'!G7</f>
        <v/>
      </c>
      <c r="F21" s="20">
        <f>C21/RendimientoRealCopasPorBotella</f>
        <v/>
      </c>
      <c r="G21" s="19">
        <f>'CARTA SEMANAL'!J7</f>
        <v/>
      </c>
      <c r="H21" s="19">
        <f>D21-F21</f>
        <v/>
      </c>
      <c r="I21" s="21">
        <f>H21/D21</f>
        <v/>
      </c>
      <c r="J21" s="19">
        <f>H21-G21</f>
        <v/>
      </c>
      <c r="K21" s="21">
        <f>I21-'CARTA SEMANAL'!K7</f>
        <v/>
      </c>
    </row>
    <row r="22">
      <c r="A22" s="36">
        <f>'CARTA SEMANAL'!A8</f>
        <v/>
      </c>
      <c r="B22" s="36">
        <f>'CARTA SEMANAL'!B8</f>
        <v/>
      </c>
      <c r="C22" s="19">
        <f>'CARTA SEMANAL'!F8</f>
        <v/>
      </c>
      <c r="D22" s="19">
        <f>'CARTA SEMANAL'!I8</f>
        <v/>
      </c>
      <c r="E22" s="20">
        <f>'CARTA SEMANAL'!G8</f>
        <v/>
      </c>
      <c r="F22" s="20">
        <f>C22/RendimientoRealCopasPorBotella</f>
        <v/>
      </c>
      <c r="G22" s="19">
        <f>'CARTA SEMANAL'!J8</f>
        <v/>
      </c>
      <c r="H22" s="19">
        <f>D22-F22</f>
        <v/>
      </c>
      <c r="I22" s="21">
        <f>H22/D22</f>
        <v/>
      </c>
      <c r="J22" s="19">
        <f>H22-G22</f>
        <v/>
      </c>
      <c r="K22" s="21">
        <f>I22-'CARTA SEMANAL'!K8</f>
        <v/>
      </c>
    </row>
    <row r="23">
      <c r="A23" s="36">
        <f>'CARTA SEMANAL'!A9</f>
        <v/>
      </c>
      <c r="B23" s="36">
        <f>'CARTA SEMANAL'!B9</f>
        <v/>
      </c>
      <c r="C23" s="19">
        <f>'CARTA SEMANAL'!F9</f>
        <v/>
      </c>
      <c r="D23" s="19">
        <f>'CARTA SEMANAL'!I9</f>
        <v/>
      </c>
      <c r="E23" s="20">
        <f>'CARTA SEMANAL'!G9</f>
        <v/>
      </c>
      <c r="F23" s="20">
        <f>C23/RendimientoRealCopasPorBotella</f>
        <v/>
      </c>
      <c r="G23" s="19">
        <f>'CARTA SEMANAL'!J9</f>
        <v/>
      </c>
      <c r="H23" s="19">
        <f>D23-F23</f>
        <v/>
      </c>
      <c r="I23" s="21">
        <f>H23/D23</f>
        <v/>
      </c>
      <c r="J23" s="19">
        <f>H23-G23</f>
        <v/>
      </c>
      <c r="K23" s="21">
        <f>I23-'CARTA SEMANAL'!K9</f>
        <v/>
      </c>
    </row>
    <row r="24">
      <c r="A24" s="36">
        <f>'CARTA SEMANAL'!A10</f>
        <v/>
      </c>
      <c r="B24" s="36">
        <f>'CARTA SEMANAL'!B10</f>
        <v/>
      </c>
      <c r="C24" s="19">
        <f>'CARTA SEMANAL'!F10</f>
        <v/>
      </c>
      <c r="D24" s="19">
        <f>'CARTA SEMANAL'!I10</f>
        <v/>
      </c>
      <c r="E24" s="20">
        <f>'CARTA SEMANAL'!G10</f>
        <v/>
      </c>
      <c r="F24" s="20">
        <f>C24/RendimientoRealCopasPorBotella</f>
        <v/>
      </c>
      <c r="G24" s="19">
        <f>'CARTA SEMANAL'!J10</f>
        <v/>
      </c>
      <c r="H24" s="19">
        <f>D24-F24</f>
        <v/>
      </c>
      <c r="I24" s="21">
        <f>H24/D24</f>
        <v/>
      </c>
      <c r="J24" s="19">
        <f>H24-G24</f>
        <v/>
      </c>
      <c r="K24" s="21">
        <f>I24-'CARTA SEMANAL'!K10</f>
        <v/>
      </c>
    </row>
    <row r="25">
      <c r="A25" s="36">
        <f>'CARTA SEMANAL'!A11</f>
        <v/>
      </c>
      <c r="B25" s="36">
        <f>'CARTA SEMANAL'!B11</f>
        <v/>
      </c>
      <c r="C25" s="19">
        <f>'CARTA SEMANAL'!F11</f>
        <v/>
      </c>
      <c r="D25" s="19">
        <f>'CARTA SEMANAL'!I11</f>
        <v/>
      </c>
      <c r="E25" s="20">
        <f>'CARTA SEMANAL'!G11</f>
        <v/>
      </c>
      <c r="F25" s="20">
        <f>C25/RendimientoRealCopasPorBotella</f>
        <v/>
      </c>
      <c r="G25" s="19">
        <f>'CARTA SEMANAL'!J11</f>
        <v/>
      </c>
      <c r="H25" s="19">
        <f>D25-F25</f>
        <v/>
      </c>
      <c r="I25" s="21">
        <f>H25/D25</f>
        <v/>
      </c>
      <c r="J25" s="19">
        <f>H25-G25</f>
        <v/>
      </c>
      <c r="K25" s="21">
        <f>I25-'CARTA SEMANAL'!K11</f>
        <v/>
      </c>
    </row>
    <row r="26">
      <c r="A26" s="36">
        <f>'CARTA SEMANAL'!A12</f>
        <v/>
      </c>
      <c r="B26" s="36">
        <f>'CARTA SEMANAL'!B12</f>
        <v/>
      </c>
      <c r="C26" s="19">
        <f>'CARTA SEMANAL'!F12</f>
        <v/>
      </c>
      <c r="D26" s="19">
        <f>'CARTA SEMANAL'!I12</f>
        <v/>
      </c>
      <c r="E26" s="20">
        <f>'CARTA SEMANAL'!G12</f>
        <v/>
      </c>
      <c r="F26" s="20">
        <f>C26/RendimientoRealCopasPorBotella</f>
        <v/>
      </c>
      <c r="G26" s="19">
        <f>'CARTA SEMANAL'!J12</f>
        <v/>
      </c>
      <c r="H26" s="19">
        <f>D26-F26</f>
        <v/>
      </c>
      <c r="I26" s="21">
        <f>H26/D26</f>
        <v/>
      </c>
      <c r="J26" s="19">
        <f>H26-G26</f>
        <v/>
      </c>
      <c r="K26" s="21">
        <f>I26-'CARTA SEMANAL'!K12</f>
        <v/>
      </c>
    </row>
    <row r="27">
      <c r="A27" s="36">
        <f>'CARTA SEMANAL'!A13</f>
        <v/>
      </c>
      <c r="B27" s="36">
        <f>'CARTA SEMANAL'!B13</f>
        <v/>
      </c>
      <c r="C27" s="19">
        <f>'CARTA SEMANAL'!F13</f>
        <v/>
      </c>
      <c r="D27" s="19">
        <f>'CARTA SEMANAL'!I13</f>
        <v/>
      </c>
      <c r="E27" s="20">
        <f>'CARTA SEMANAL'!G13</f>
        <v/>
      </c>
      <c r="F27" s="20">
        <f>C27/RendimientoRealCopasPorBotella</f>
        <v/>
      </c>
      <c r="G27" s="19">
        <f>'CARTA SEMANAL'!J13</f>
        <v/>
      </c>
      <c r="H27" s="19">
        <f>D27-F27</f>
        <v/>
      </c>
      <c r="I27" s="21">
        <f>H27/D27</f>
        <v/>
      </c>
      <c r="J27" s="19">
        <f>H27-G27</f>
        <v/>
      </c>
      <c r="K27" s="21">
        <f>I27-'CARTA SEMANAL'!K13</f>
        <v/>
      </c>
    </row>
    <row r="28">
      <c r="A28" s="36">
        <f>'CARTA SEMANAL'!A14</f>
        <v/>
      </c>
      <c r="B28" s="36">
        <f>'CARTA SEMANAL'!B14</f>
        <v/>
      </c>
      <c r="C28" s="19">
        <f>'CARTA SEMANAL'!F14</f>
        <v/>
      </c>
      <c r="D28" s="19">
        <f>'CARTA SEMANAL'!I14</f>
        <v/>
      </c>
      <c r="E28" s="20">
        <f>'CARTA SEMANAL'!G14</f>
        <v/>
      </c>
      <c r="F28" s="20">
        <f>C28/RendimientoRealCopasPorBotella</f>
        <v/>
      </c>
      <c r="G28" s="19">
        <f>'CARTA SEMANAL'!J14</f>
        <v/>
      </c>
      <c r="H28" s="19">
        <f>D28-F28</f>
        <v/>
      </c>
      <c r="I28" s="21">
        <f>H28/D28</f>
        <v/>
      </c>
      <c r="J28" s="19">
        <f>H28-G28</f>
        <v/>
      </c>
      <c r="K28" s="21">
        <f>I28-'CARTA SEMANAL'!K14</f>
        <v/>
      </c>
    </row>
    <row r="29">
      <c r="A29" s="36">
        <f>'CARTA SEMANAL'!A15</f>
        <v/>
      </c>
      <c r="B29" s="36">
        <f>'CARTA SEMANAL'!B15</f>
        <v/>
      </c>
      <c r="C29" s="19">
        <f>'CARTA SEMANAL'!F15</f>
        <v/>
      </c>
      <c r="D29" s="19">
        <f>'CARTA SEMANAL'!I15</f>
        <v/>
      </c>
      <c r="E29" s="20">
        <f>'CARTA SEMANAL'!G15</f>
        <v/>
      </c>
      <c r="F29" s="20">
        <f>C29/RendimientoRealCopasPorBotella</f>
        <v/>
      </c>
      <c r="G29" s="19">
        <f>'CARTA SEMANAL'!J15</f>
        <v/>
      </c>
      <c r="H29" s="19">
        <f>D29-F29</f>
        <v/>
      </c>
      <c r="I29" s="21">
        <f>H29/D29</f>
        <v/>
      </c>
      <c r="J29" s="19">
        <f>H29-G29</f>
        <v/>
      </c>
      <c r="K29" s="21">
        <f>I29-'CARTA SEMANAL'!K15</f>
        <v/>
      </c>
    </row>
    <row r="30">
      <c r="A30" s="36">
        <f>'CARTA SEMANAL'!A16</f>
        <v/>
      </c>
      <c r="B30" s="36">
        <f>'CARTA SEMANAL'!B16</f>
        <v/>
      </c>
      <c r="C30" s="19">
        <f>'CARTA SEMANAL'!F16</f>
        <v/>
      </c>
      <c r="D30" s="19">
        <f>'CARTA SEMANAL'!I16</f>
        <v/>
      </c>
      <c r="E30" s="20">
        <f>'CARTA SEMANAL'!G16</f>
        <v/>
      </c>
      <c r="F30" s="20">
        <f>C30/RendimientoRealCopasPorBotella</f>
        <v/>
      </c>
      <c r="G30" s="19">
        <f>'CARTA SEMANAL'!J16</f>
        <v/>
      </c>
      <c r="H30" s="19">
        <f>D30-F30</f>
        <v/>
      </c>
      <c r="I30" s="21">
        <f>H30/D30</f>
        <v/>
      </c>
      <c r="J30" s="19">
        <f>H30-G30</f>
        <v/>
      </c>
      <c r="K30" s="21">
        <f>I30-'CARTA SEMANAL'!K16</f>
        <v/>
      </c>
    </row>
    <row r="31">
      <c r="A31" s="22" t="inlineStr">
        <is>
          <t>PROMEDIO</t>
        </is>
      </c>
      <c r="B31" s="25" t="n"/>
      <c r="C31" s="24">
        <f>AVERAGE(C17:C30)</f>
        <v/>
      </c>
      <c r="D31" s="24">
        <f>AVERAGE(D17:D30)</f>
        <v/>
      </c>
      <c r="E31" s="37">
        <f>AVERAGE(E17:E30)</f>
        <v/>
      </c>
      <c r="F31" s="37">
        <f>AVERAGE(F17:F30)</f>
        <v/>
      </c>
      <c r="G31" s="24">
        <f>AVERAGE(G17:G30)</f>
        <v/>
      </c>
      <c r="H31" s="24">
        <f>AVERAGE(H17:H30)</f>
        <v/>
      </c>
      <c r="I31" s="26">
        <f>AVERAGE(I17:I30)</f>
        <v/>
      </c>
      <c r="J31" s="24">
        <f>AVERAGE(J17:J30)</f>
        <v/>
      </c>
      <c r="K31" s="26">
        <f>AVERAGE(K17:K30)</f>
        <v/>
      </c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</row>
  </sheetData>
  <mergeCells count="5">
    <mergeCell ref="A1:C1"/>
    <mergeCell ref="A15:K15"/>
    <mergeCell ref="A12:C12"/>
    <mergeCell ref="A31:B31"/>
    <mergeCell ref="A2:C2"/>
  </mergeCells>
  <conditionalFormatting sqref="I17:I30">
    <cfRule type="colorScale" priority="1">
      <colorScale>
        <cfvo type="min"/>
        <cfvo type="percentile" val="50"/>
        <cfvo type="max"/>
        <color rgb="00DEC9C6"/>
        <color rgb="00E8DFC0"/>
        <color rgb="00C7D6C2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zoomScale="10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3" customWidth="1" min="5" max="5"/>
    <col width="11" customWidth="1" min="6" max="6"/>
    <col width="10" customWidth="1" min="7" max="7"/>
    <col width="30" customWidth="1" min="8" max="8"/>
  </cols>
  <sheetData>
    <row r="1" ht="22" customHeight="1">
      <c r="A1" s="1" t="inlineStr">
        <is>
          <t>TAPEO — costeo por SKU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3" t="inlineStr">
        <is>
          <t>Ítem</t>
        </is>
      </c>
      <c r="B2" s="3" t="inlineStr">
        <is>
          <t>Costo insumo /
compra proveedor
(por unidad de compra)</t>
        </is>
      </c>
      <c r="C2" s="3" t="inlineStr">
        <is>
          <t>Porciones por
unidad de compra</t>
        </is>
      </c>
      <c r="D2" s="3" t="inlineStr">
        <is>
          <t>Costo por
porción</t>
        </is>
      </c>
      <c r="E2" s="3" t="inlineStr">
        <is>
          <t>Precio de
venta</t>
        </is>
      </c>
      <c r="F2" s="3" t="inlineStr">
        <is>
          <t>Margen $</t>
        </is>
      </c>
      <c r="G2" s="3" t="inlineStr">
        <is>
          <t>Margen %</t>
        </is>
      </c>
      <c r="H2" s="3" t="inlineStr">
        <is>
          <t>Notas</t>
        </is>
      </c>
    </row>
    <row r="3">
      <c r="A3" s="17" t="inlineStr">
        <is>
          <t>Tabla de carnes rojas (fiambre curado)</t>
        </is>
      </c>
      <c r="B3" s="12" t="n">
        <v>18000</v>
      </c>
      <c r="C3" s="6" t="n">
        <v>10</v>
      </c>
      <c r="D3" s="20">
        <f>B3/C3</f>
        <v/>
      </c>
      <c r="E3" s="12" t="n">
        <v>9500</v>
      </c>
      <c r="F3" s="19">
        <f>E3-D3</f>
        <v/>
      </c>
      <c r="G3" s="21">
        <f>F3/E3</f>
        <v/>
      </c>
      <c r="H3" s="8" t="inlineStr">
        <is>
          <t>Base: maridaje carnes rojas</t>
        </is>
      </c>
    </row>
    <row r="4">
      <c r="A4" s="17" t="inlineStr">
        <is>
          <t>Quesos duros (parmesano/sardo, pieza)</t>
        </is>
      </c>
      <c r="B4" s="12" t="n">
        <v>14000</v>
      </c>
      <c r="C4" s="6" t="n">
        <v>12</v>
      </c>
      <c r="D4" s="20">
        <f>B4/C4</f>
        <v/>
      </c>
      <c r="E4" s="12" t="n">
        <v>7500</v>
      </c>
      <c r="F4" s="19">
        <f>E4-D4</f>
        <v/>
      </c>
      <c r="G4" s="21">
        <f>F4/E4</f>
        <v/>
      </c>
      <c r="H4" s="8" t="inlineStr">
        <is>
          <t>Base: maridaje quesos duros</t>
        </is>
      </c>
    </row>
    <row r="5">
      <c r="A5" s="17" t="inlineStr">
        <is>
          <t>Quesos blandos (brie/cremoso, pieza)</t>
        </is>
      </c>
      <c r="B5" s="12" t="n">
        <v>12000</v>
      </c>
      <c r="C5" s="6" t="n">
        <v>10</v>
      </c>
      <c r="D5" s="20">
        <f>B5/C5</f>
        <v/>
      </c>
      <c r="E5" s="12" t="n">
        <v>7000</v>
      </c>
      <c r="F5" s="19">
        <f>E5-D5</f>
        <v/>
      </c>
      <c r="G5" s="21">
        <f>F5/E5</f>
        <v/>
      </c>
      <c r="H5" s="8" t="inlineStr">
        <is>
          <t>Base: maridaje quesos blandos</t>
        </is>
      </c>
    </row>
    <row r="6">
      <c r="A6" s="17" t="inlineStr">
        <is>
          <t>Jamón crudo (paquete fetas)</t>
        </is>
      </c>
      <c r="B6" s="12" t="n">
        <v>16000</v>
      </c>
      <c r="C6" s="6" t="n">
        <v>8</v>
      </c>
      <c r="D6" s="20">
        <f>B6/C6</f>
        <v/>
      </c>
      <c r="E6" s="12" t="n">
        <v>8500</v>
      </c>
      <c r="F6" s="19">
        <f>E6-D6</f>
        <v/>
      </c>
      <c r="G6" s="21">
        <f>F6/E6</f>
        <v/>
      </c>
      <c r="H6" s="8" t="inlineStr">
        <is>
          <t>Base: maridaje jamón crudo</t>
        </is>
      </c>
    </row>
    <row r="7">
      <c r="A7" s="17" t="inlineStr">
        <is>
          <t>Tabla mixta (para compartir)</t>
        </is>
      </c>
      <c r="B7" s="12" t="n">
        <v>22000</v>
      </c>
      <c r="C7" s="6" t="n">
        <v>6</v>
      </c>
      <c r="D7" s="20">
        <f>B7/C7</f>
        <v/>
      </c>
      <c r="E7" s="12" t="n">
        <v>12000</v>
      </c>
      <c r="F7" s="19">
        <f>E7-D7</f>
        <v/>
      </c>
      <c r="G7" s="21">
        <f>F7/E7</f>
        <v/>
      </c>
      <c r="H7" s="8" t="inlineStr">
        <is>
          <t>Base: maridaje tabla</t>
        </is>
      </c>
    </row>
    <row r="8">
      <c r="A8" s="17" t="inlineStr">
        <is>
          <t>Fiambres surtidos</t>
        </is>
      </c>
      <c r="B8" s="12" t="n">
        <v>15000</v>
      </c>
      <c r="C8" s="6" t="n">
        <v>9</v>
      </c>
      <c r="D8" s="20">
        <f>B8/C8</f>
        <v/>
      </c>
      <c r="E8" s="12" t="n">
        <v>8000</v>
      </c>
      <c r="F8" s="19">
        <f>E8-D8</f>
        <v/>
      </c>
      <c r="G8" s="21">
        <f>F8/E8</f>
        <v/>
      </c>
      <c r="H8" s="8" t="inlineStr">
        <is>
          <t>Base: maridaje fiambres</t>
        </is>
      </c>
    </row>
    <row r="9">
      <c r="A9" s="17" t="inlineStr">
        <is>
          <t>Salmón ahumado (porción)</t>
        </is>
      </c>
      <c r="B9" s="12" t="n">
        <v>21000</v>
      </c>
      <c r="C9" s="6" t="n">
        <v>7</v>
      </c>
      <c r="D9" s="20">
        <f>B9/C9</f>
        <v/>
      </c>
      <c r="E9" s="12" t="n">
        <v>11000</v>
      </c>
      <c r="F9" s="19">
        <f>E9-D9</f>
        <v/>
      </c>
      <c r="G9" s="21">
        <f>F9/E9</f>
        <v/>
      </c>
      <c r="H9" s="8" t="inlineStr">
        <is>
          <t>Base: maridaje salmón</t>
        </is>
      </c>
    </row>
    <row r="10">
      <c r="A10" s="17" t="inlineStr">
        <is>
          <t>Mortadela con pistacho</t>
        </is>
      </c>
      <c r="B10" s="12" t="n">
        <v>11000</v>
      </c>
      <c r="C10" s="6" t="n">
        <v>10</v>
      </c>
      <c r="D10" s="20">
        <f>B10/C10</f>
        <v/>
      </c>
      <c r="E10" s="12" t="n">
        <v>6500</v>
      </c>
      <c r="F10" s="19">
        <f>E10-D10</f>
        <v/>
      </c>
      <c r="G10" s="21">
        <f>F10/E10</f>
        <v/>
      </c>
      <c r="H10" s="8" t="inlineStr">
        <is>
          <t>Base: maridaje mortadela</t>
        </is>
      </c>
    </row>
    <row r="11">
      <c r="A11" s="17" t="inlineStr">
        <is>
          <t>Aceitunas gourmet (pote)</t>
        </is>
      </c>
      <c r="B11" s="12" t="n">
        <v>5500</v>
      </c>
      <c r="C11" s="6" t="n">
        <v>11</v>
      </c>
      <c r="D11" s="20">
        <f>B11/C11</f>
        <v/>
      </c>
      <c r="E11" s="12" t="n">
        <v>3200</v>
      </c>
      <c r="F11" s="19">
        <f>E11-D11</f>
        <v/>
      </c>
      <c r="G11" s="21">
        <f>F11/E11</f>
        <v/>
      </c>
      <c r="H11" s="8" t="inlineStr">
        <is>
          <t>Base: maridaje aceitunas</t>
        </is>
      </c>
    </row>
    <row r="12">
      <c r="A12" s="17" t="inlineStr">
        <is>
          <t>Panera con dips</t>
        </is>
      </c>
      <c r="B12" s="12" t="n">
        <v>4200</v>
      </c>
      <c r="C12" s="6" t="n">
        <v>14</v>
      </c>
      <c r="D12" s="20">
        <f>B12/C12</f>
        <v/>
      </c>
      <c r="E12" s="12" t="n">
        <v>2800</v>
      </c>
      <c r="F12" s="19">
        <f>E12-D12</f>
        <v/>
      </c>
      <c r="G12" s="21">
        <f>F12/E12</f>
        <v/>
      </c>
      <c r="H12" s="8" t="inlineStr">
        <is>
          <t>Base: maridaje panera</t>
        </is>
      </c>
    </row>
    <row r="13">
      <c r="A13" s="17" t="inlineStr">
        <is>
          <t>Salame artesanal (pieza)</t>
        </is>
      </c>
      <c r="B13" s="12" t="n">
        <v>9500</v>
      </c>
      <c r="C13" s="6" t="n">
        <v>10</v>
      </c>
      <c r="D13" s="20">
        <f>B13/C13</f>
        <v/>
      </c>
      <c r="E13" s="12" t="n">
        <v>5500</v>
      </c>
      <c r="F13" s="19">
        <f>E13-D13</f>
        <v/>
      </c>
      <c r="G13" s="21">
        <f>F13/E13</f>
        <v/>
      </c>
      <c r="H13" s="8" t="inlineStr">
        <is>
          <t>Base: maridaje salame</t>
        </is>
      </c>
    </row>
    <row r="14">
      <c r="A14" s="22" t="inlineStr">
        <is>
          <t>PROMEDIO</t>
        </is>
      </c>
      <c r="B14" s="24">
        <f>AVERAGE(B3:B13)</f>
        <v/>
      </c>
      <c r="C14" s="27">
        <f>AVERAGE(C3:C13)</f>
        <v/>
      </c>
      <c r="D14" s="37">
        <f>AVERAGE(D3:D13)</f>
        <v/>
      </c>
      <c r="E14" s="24">
        <f>AVERAGE(E3:E13)</f>
        <v/>
      </c>
      <c r="F14" s="24">
        <f>AVERAGE(F3:F13)</f>
        <v/>
      </c>
      <c r="G14" s="26">
        <f>AVERAGE(G3:G13)</f>
        <v/>
      </c>
      <c r="H14" s="25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</row>
    <row r="17" ht="18" customHeight="1">
      <c r="A17" s="4" t="inlineStr">
        <is>
          <t>APORTE DEL TAPEO AL TICKET PROMEDIO</t>
        </is>
      </c>
      <c r="B17" s="2" t="n"/>
      <c r="C17" s="2" t="n"/>
      <c r="D17" s="2" t="n"/>
      <c r="E17" s="2" t="n"/>
      <c r="F17" s="2" t="n"/>
      <c r="G17" s="2" t="n"/>
      <c r="H17" s="2" t="n"/>
    </row>
    <row r="18">
      <c r="A18" s="5" t="inlineStr">
        <is>
          <t>% de clientes que piden tapeo</t>
        </is>
      </c>
      <c r="B18" s="38">
        <f>PctClientesTapeo</f>
        <v/>
      </c>
    </row>
    <row r="19">
      <c r="A19" s="33" t="inlineStr">
        <is>
          <t>Ticket tapeo promedio por pedido</t>
        </is>
      </c>
      <c r="B19" s="29">
        <f>AVERAGE(E3:E13)</f>
        <v/>
      </c>
    </row>
    <row r="20">
      <c r="A20" s="33" t="inlineStr">
        <is>
          <t>% costo promedio del tapeo s/precio de venta</t>
        </is>
      </c>
      <c r="B20" s="35">
        <f>AVERAGE(D3:D13)/AVERAGE(E3:E13)</f>
        <v/>
      </c>
    </row>
    <row r="21">
      <c r="A21" s="5" t="inlineStr">
        <is>
          <t>Ticket copas promedio por persona (referencia)</t>
        </is>
      </c>
      <c r="B21" s="19">
        <f>CopasPorPersona*'CARTA SEMANAL'!PrecioVentaPromedio</f>
        <v/>
      </c>
    </row>
    <row r="22">
      <c r="A22" s="28" t="inlineStr">
        <is>
          <t>Aporte del tapeo al ticket total por persona (%)</t>
        </is>
      </c>
      <c r="B22" s="35">
        <f>(PctClientesTapeo*B19)/(B21+PctClientesTapeo*B19)</f>
        <v/>
      </c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</row>
  </sheetData>
  <mergeCells count="2">
    <mergeCell ref="A17:H17"/>
    <mergeCell ref="A1:H1"/>
  </mergeCells>
  <conditionalFormatting sqref="G3:G13">
    <cfRule type="colorScale" priority="1">
      <colorScale>
        <cfvo type="min"/>
        <cfvo type="percentile" val="50"/>
        <cfvo type="max"/>
        <color rgb="00DEC9C6"/>
        <color rgb="00E8DFC0"/>
        <color rgb="00C7D6C2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44" customWidth="1" min="4" max="4"/>
  </cols>
  <sheetData>
    <row r="1" ht="22" customHeight="1">
      <c r="A1" s="1" t="inlineStr">
        <is>
          <t>COSTOS FIJOS Y VARIABLES — desglose mensual</t>
        </is>
      </c>
      <c r="B1" s="2" t="n"/>
      <c r="C1" s="2" t="n"/>
      <c r="D1" s="2" t="n"/>
    </row>
    <row r="2" ht="18" customHeight="1">
      <c r="A2" s="4" t="inlineStr">
        <is>
          <t>SUPUESTOS DE FACTURACIÓN BASE (para calcular variables)</t>
        </is>
      </c>
      <c r="B2" s="2" t="n"/>
      <c r="C2" s="2" t="n"/>
      <c r="D2" s="2" t="n"/>
    </row>
    <row r="3">
      <c r="A3" s="5" t="inlineStr">
        <is>
          <t>Copas vendidas por mes (escenario base)</t>
        </is>
      </c>
      <c r="B3" s="31">
        <f>PersonasPorNocheBase*CopasPorPersona*NochesPorMes</f>
        <v/>
      </c>
    </row>
    <row r="4">
      <c r="A4" s="5" t="inlineStr">
        <is>
          <t>Facturación mensual estimada por copas (escenario base)</t>
        </is>
      </c>
      <c r="B4" s="19">
        <f>CopasVendidasMesBase*'CARTA SEMANAL'!PrecioVentaPromedio</f>
        <v/>
      </c>
    </row>
    <row r="6" ht="30" customHeight="1">
      <c r="A6" s="3" t="inlineStr">
        <is>
          <t>Rubro</t>
        </is>
      </c>
      <c r="B6" s="3" t="inlineStr">
        <is>
          <t>Monto mensual</t>
        </is>
      </c>
      <c r="C6" s="3" t="inlineStr">
        <is>
          <t>Escala con 5ta noche</t>
        </is>
      </c>
      <c r="D6" s="3" t="inlineStr">
        <is>
          <t>Nota</t>
        </is>
      </c>
    </row>
    <row r="7" ht="18" customHeight="1">
      <c r="A7" s="4" t="inlineStr">
        <is>
          <t>COSTOS FIJOS</t>
        </is>
      </c>
      <c r="B7" s="2" t="n"/>
      <c r="C7" s="2" t="n"/>
      <c r="D7" s="2" t="n"/>
    </row>
    <row r="8">
      <c r="A8" s="5" t="inlineStr">
        <is>
          <t>Alquiler</t>
        </is>
      </c>
      <c r="B8" s="19">
        <f>Alquiler</f>
        <v/>
      </c>
      <c r="C8" s="39" t="inlineStr">
        <is>
          <t>No</t>
        </is>
      </c>
      <c r="D8" s="8" t="inlineStr"/>
    </row>
    <row r="9">
      <c r="A9" s="5" t="inlineStr">
        <is>
          <t>Sueldos y cargas sociales (base, 4 noches)</t>
        </is>
      </c>
      <c r="B9" s="19">
        <f>SueldosCargas</f>
        <v/>
      </c>
      <c r="C9" s="39" t="inlineStr">
        <is>
          <t>No</t>
        </is>
      </c>
      <c r="D9" s="8" t="inlineStr"/>
    </row>
    <row r="10">
      <c r="A10" s="5" t="inlineStr">
        <is>
          <t>Personal de apoyo — 5ta noche</t>
        </is>
      </c>
      <c r="B10" s="19">
        <f>PersonalApoyo5taNoche</f>
        <v/>
      </c>
      <c r="C10" s="40" t="inlineStr">
        <is>
          <t>Sí</t>
        </is>
      </c>
      <c r="D10" s="8" t="inlineStr">
        <is>
          <t>Turno extra de sala/bacha</t>
        </is>
      </c>
    </row>
    <row r="11">
      <c r="A11" s="5" t="inlineStr">
        <is>
          <t>Servicios (luz/gas/agua/internet)</t>
        </is>
      </c>
      <c r="B11" s="19">
        <f>Servicios</f>
        <v/>
      </c>
      <c r="C11" s="39" t="inlineStr">
        <is>
          <t>No</t>
        </is>
      </c>
      <c r="D11" s="8" t="inlineStr"/>
    </row>
    <row r="12">
      <c r="A12" s="5" t="inlineStr">
        <is>
          <t>Servicios extra — 5ta noche</t>
        </is>
      </c>
      <c r="B12" s="19">
        <f>ServiciosExtra5taNoche</f>
        <v/>
      </c>
      <c r="C12" s="40" t="inlineStr">
        <is>
          <t>Sí</t>
        </is>
      </c>
      <c r="D12" s="8" t="inlineStr">
        <is>
          <t>Mayor consumo por noche extra</t>
        </is>
      </c>
    </row>
    <row r="13">
      <c r="A13" s="5" t="inlineStr">
        <is>
          <t>Impuestos y tasas municipales</t>
        </is>
      </c>
      <c r="B13" s="19">
        <f>ImpuestosTasas</f>
        <v/>
      </c>
      <c r="C13" s="39" t="inlineStr">
        <is>
          <t>No</t>
        </is>
      </c>
      <c r="D13" s="8" t="inlineStr"/>
    </row>
    <row r="14">
      <c r="A14" s="5" t="inlineStr">
        <is>
          <t>Seguro</t>
        </is>
      </c>
      <c r="B14" s="19">
        <f>Seguro</f>
        <v/>
      </c>
      <c r="C14" s="39" t="inlineStr">
        <is>
          <t>No</t>
        </is>
      </c>
      <c r="D14" s="8" t="inlineStr"/>
    </row>
    <row r="15">
      <c r="A15" s="5" t="inlineStr">
        <is>
          <t>Contador</t>
        </is>
      </c>
      <c r="B15" s="19">
        <f>Contador</f>
        <v/>
      </c>
      <c r="C15" s="39" t="inlineStr">
        <is>
          <t>No</t>
        </is>
      </c>
      <c r="D15" s="8" t="inlineStr"/>
    </row>
    <row r="16">
      <c r="A16" s="5" t="inlineStr">
        <is>
          <t>Mantenimiento dispenser Redsack</t>
        </is>
      </c>
      <c r="B16" s="19">
        <f>MantenimientoDispenser</f>
        <v/>
      </c>
      <c r="C16" s="39" t="inlineStr">
        <is>
          <t>No</t>
        </is>
      </c>
      <c r="D16" s="8" t="inlineStr"/>
    </row>
    <row r="17">
      <c r="A17" s="5" t="inlineStr">
        <is>
          <t>Marketing / redes</t>
        </is>
      </c>
      <c r="B17" s="19">
        <f>MarketingRedes</f>
        <v/>
      </c>
      <c r="C17" s="39" t="inlineStr">
        <is>
          <t>No</t>
        </is>
      </c>
      <c r="D17" s="8" t="inlineStr"/>
    </row>
    <row r="18">
      <c r="A18" s="22" t="inlineStr">
        <is>
          <t>SUBTOTAL COSTOS FIJOS (con 5ta noche)</t>
        </is>
      </c>
      <c r="B18" s="24">
        <f>SUM(B8:B17)</f>
        <v/>
      </c>
      <c r="C18" s="25" t="n"/>
      <c r="D18" s="25" t="n"/>
    </row>
    <row r="19">
      <c r="A19" s="33" t="inlineStr">
        <is>
          <t>Total costos fijos SIN 5ta noche (referencia, 4 noches/sem)</t>
        </is>
      </c>
      <c r="B19" s="29">
        <f>B18-PersonalApoyo5taNoche-ServiciosExtra5taNoche</f>
        <v/>
      </c>
    </row>
    <row r="20">
      <c r="A20" s="41" t="inlineStr">
        <is>
          <t>Diferencia vs. piso de referencia del dueño ($3.000.000)</t>
        </is>
      </c>
      <c r="B20" s="19">
        <f>B18-CostosFijosReferencia</f>
        <v/>
      </c>
    </row>
    <row r="22" ht="18" customHeight="1">
      <c r="A22" s="4" t="inlineStr">
        <is>
          <t>COSTOS VARIABLES</t>
        </is>
      </c>
      <c r="B22" s="2" t="n"/>
      <c r="C22" s="2" t="n"/>
      <c r="D22" s="2" t="n"/>
    </row>
    <row r="23">
      <c r="A23" s="5" t="inlineStr">
        <is>
          <t>Insumos de limpieza (por noche operada)</t>
        </is>
      </c>
      <c r="B23" s="19">
        <f>CostoLimpiezaPorNoche*NochesPorMes</f>
        <v/>
      </c>
      <c r="C23" s="40" t="inlineStr">
        <is>
          <t>Sí</t>
        </is>
      </c>
      <c r="D23" s="8" t="inlineStr">
        <is>
          <t>Escala con noches operadas (incluida la 5ta)</t>
        </is>
      </c>
    </row>
    <row r="24">
      <c r="A24" s="5" t="inlineStr">
        <is>
          <t>Cristalería de reposición (roturas)</t>
        </is>
      </c>
      <c r="B24" s="19">
        <f>CopasVendidasMesBase*PctRoturasCristaleria*CostoReposicionCopaUnidad</f>
        <v/>
      </c>
      <c r="C24" s="40" t="inlineStr">
        <is>
          <t>Sí</t>
        </is>
      </c>
      <c r="D24" s="8" t="inlineStr">
        <is>
          <t>Escala con volumen de copas servidas</t>
        </is>
      </c>
    </row>
    <row r="25">
      <c r="A25" s="5" t="inlineStr">
        <is>
          <t>Comisión medios de pago</t>
        </is>
      </c>
      <c r="B25" s="19">
        <f>FacturacionMensualBase*PctComisionMedioPago</f>
        <v/>
      </c>
      <c r="C25" s="40" t="inlineStr">
        <is>
          <t>Sí</t>
        </is>
      </c>
      <c r="D25" s="8" t="inlineStr">
        <is>
          <t>Escala con facturación</t>
        </is>
      </c>
    </row>
    <row r="26">
      <c r="A26" s="22" t="inlineStr">
        <is>
          <t>SUBTOTAL COSTOS VARIABLES (escenario base)</t>
        </is>
      </c>
      <c r="B26" s="24">
        <f>SUM(B23:B25)</f>
        <v/>
      </c>
      <c r="C26" s="25" t="n"/>
      <c r="D26" s="25" t="n"/>
    </row>
    <row r="27">
      <c r="A27" s="22" t="inlineStr">
        <is>
          <t>TOTAL FIJOS + VARIABLES (escenario base, 5 noches)</t>
        </is>
      </c>
      <c r="B27" s="24">
        <f>B18+B26</f>
        <v/>
      </c>
      <c r="C27" s="25" t="n"/>
      <c r="D27" s="25" t="n"/>
    </row>
    <row r="29">
      <c r="A29" s="16" t="n"/>
      <c r="B29" s="16" t="n"/>
      <c r="C29" s="16" t="n"/>
      <c r="D29" s="16" t="n"/>
    </row>
  </sheetData>
  <mergeCells count="4">
    <mergeCell ref="A22:D22"/>
    <mergeCell ref="A1:D1"/>
    <mergeCell ref="A7:D7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zoomScale="10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</cols>
  <sheetData>
    <row r="1" ht="22" customHeight="1">
      <c r="A1" s="1" t="inlineStr">
        <is>
          <t>PUNTO DE EQUILIBRIO — copas, pesos y personas por noche</t>
        </is>
      </c>
      <c r="B1" s="2" t="n"/>
      <c r="C1" s="2" t="n"/>
      <c r="D1" s="2" t="n"/>
    </row>
    <row r="2" ht="18" customHeight="1">
      <c r="A2" s="4" t="inlineStr">
        <is>
          <t>SUPUESTOS COMUNES</t>
        </is>
      </c>
      <c r="B2" s="2" t="n"/>
      <c r="C2" s="2" t="n"/>
      <c r="D2" s="2" t="n"/>
    </row>
    <row r="3">
      <c r="A3" s="5" t="inlineStr">
        <is>
          <t>Precio de venta promedio ponderado</t>
        </is>
      </c>
      <c r="B3" s="19">
        <f>'CARTA SEMANAL'!PrecioVentaPromedio</f>
        <v/>
      </c>
    </row>
    <row r="4">
      <c r="A4" s="5" t="inlineStr">
        <is>
          <t>Precio góndola promedio</t>
        </is>
      </c>
      <c r="B4" s="19">
        <f>'CARTA SEMANAL'!PrecioGondolaPromedio</f>
        <v/>
      </c>
    </row>
    <row r="5">
      <c r="A5" s="5" t="inlineStr">
        <is>
          <t>Costo de botella de compra (% s/góndola promedio)</t>
        </is>
      </c>
      <c r="B5" s="19">
        <f>'CARTA SEMANAL'!PrecioGondolaPromedio*PctCostoVinoPropio</f>
        <v/>
      </c>
    </row>
    <row r="6">
      <c r="A6" s="33" t="inlineStr">
        <is>
          <t>Costo por copa — vino de compra (rendimiento real)</t>
        </is>
      </c>
      <c r="B6" s="30">
        <f>B5/RendimientoRealCopasPorBotella</f>
        <v/>
      </c>
    </row>
    <row r="7">
      <c r="A7" s="5" t="inlineStr">
        <is>
          <t>Comisión medios de pago por copa (s/precio venta prom.)</t>
        </is>
      </c>
      <c r="B7" s="20">
        <f>'CARTA SEMANAL'!PrecioVentaPromedio*PctComisionMedioPago</f>
        <v/>
      </c>
    </row>
    <row r="9" ht="30" customHeight="1">
      <c r="A9" s="3" t="inlineStr">
        <is>
          <t>Concepto</t>
        </is>
      </c>
      <c r="B9" s="3" t="inlineStr">
        <is>
          <t>Mix 0% socias</t>
        </is>
      </c>
      <c r="C9" s="3" t="inlineStr">
        <is>
          <t>Mix 50% socias</t>
        </is>
      </c>
      <c r="D9" s="3" t="inlineStr">
        <is>
          <t>Mix 100% socias</t>
        </is>
      </c>
    </row>
    <row r="10">
      <c r="A10" s="5" t="inlineStr">
        <is>
          <t>% bodegas socias (mix del escenario)</t>
        </is>
      </c>
      <c r="B10" s="11" t="n">
        <v>0</v>
      </c>
      <c r="C10" s="11" t="n">
        <v>0.5</v>
      </c>
      <c r="D10" s="11" t="n">
        <v>1</v>
      </c>
    </row>
    <row r="11">
      <c r="A11" s="5" t="inlineStr">
        <is>
          <t>Costo variable de vino por copa</t>
        </is>
      </c>
      <c r="B11" s="20">
        <f>(1-B10)*CostoPorCopaCompraPromedio</f>
        <v/>
      </c>
      <c r="C11" s="20">
        <f>(1-C10)*CostoPorCopaCompraPromedio</f>
        <v/>
      </c>
      <c r="D11" s="20">
        <f>(1-D10)*CostoPorCopaCompraPromedio</f>
        <v/>
      </c>
    </row>
    <row r="12">
      <c r="A12" s="5" t="inlineStr">
        <is>
          <t>Comisión medios de pago por copa</t>
        </is>
      </c>
      <c r="B12" s="20">
        <f>$B$7</f>
        <v/>
      </c>
      <c r="C12" s="20">
        <f>$B$7</f>
        <v/>
      </c>
      <c r="D12" s="20">
        <f>$B$7</f>
        <v/>
      </c>
    </row>
    <row r="13">
      <c r="A13" s="5" t="inlineStr">
        <is>
          <t>Costo variable total por copa</t>
        </is>
      </c>
      <c r="B13" s="20">
        <f>B11+B12</f>
        <v/>
      </c>
      <c r="C13" s="20">
        <f>C11+C12</f>
        <v/>
      </c>
      <c r="D13" s="20">
        <f>D11+D12</f>
        <v/>
      </c>
    </row>
    <row r="14">
      <c r="A14" s="33" t="inlineStr">
        <is>
          <t>Margen de contribución por copa</t>
        </is>
      </c>
      <c r="B14" s="30">
        <f>'CARTA SEMANAL'!PrecioVentaPromedio-B13</f>
        <v/>
      </c>
      <c r="C14" s="30">
        <f>'CARTA SEMANAL'!PrecioVentaPromedio-C13</f>
        <v/>
      </c>
      <c r="D14" s="30">
        <f>'CARTA SEMANAL'!PrecioVentaPromedio-D13</f>
        <v/>
      </c>
    </row>
    <row r="16" ht="18" customHeight="1">
      <c r="A16" s="4" t="inlineStr">
        <is>
          <t>EQUILIBRIO CON 5 NOCHES / SEMANA (costos fijos actuales)</t>
        </is>
      </c>
      <c r="B16" s="2" t="n"/>
      <c r="C16" s="2" t="n"/>
      <c r="D16" s="2" t="n"/>
    </row>
    <row r="17">
      <c r="A17" s="5" t="inlineStr">
        <is>
          <t>Costos fijos mensuales (5 noches)</t>
        </is>
      </c>
      <c r="B17" s="19">
        <f>'COSTOS FIJOS Y VARIABLES'!TotalCostosFijos5Noches</f>
        <v/>
      </c>
      <c r="C17" s="19">
        <f>'COSTOS FIJOS Y VARIABLES'!TotalCostosFijos5Noches</f>
        <v/>
      </c>
      <c r="D17" s="19">
        <f>'COSTOS FIJOS Y VARIABLES'!TotalCostosFijos5Noches</f>
        <v/>
      </c>
    </row>
    <row r="18">
      <c r="A18" s="33" t="inlineStr">
        <is>
          <t>Equilibrio: copas por mes</t>
        </is>
      </c>
      <c r="B18" s="42">
        <f>B17/B14</f>
        <v/>
      </c>
      <c r="C18" s="42">
        <f>C17/C14</f>
        <v/>
      </c>
      <c r="D18" s="42">
        <f>D17/D14</f>
        <v/>
      </c>
    </row>
    <row r="19">
      <c r="A19" s="33" t="inlineStr">
        <is>
          <t>Equilibrio: copas por noche</t>
        </is>
      </c>
      <c r="B19" s="43">
        <f>B18/NochesPorMes</f>
        <v/>
      </c>
      <c r="C19" s="43">
        <f>C18/NochesPorMes</f>
        <v/>
      </c>
      <c r="D19" s="43">
        <f>D18/NochesPorMes</f>
        <v/>
      </c>
    </row>
    <row r="20">
      <c r="A20" s="5" t="inlineStr">
        <is>
          <t>Equilibrio: facturación mensual</t>
        </is>
      </c>
      <c r="B20" s="19">
        <f>B18*'CARTA SEMANAL'!PrecioVentaPromedio</f>
        <v/>
      </c>
      <c r="C20" s="19">
        <f>C18*'CARTA SEMANAL'!PrecioVentaPromedio</f>
        <v/>
      </c>
      <c r="D20" s="19">
        <f>D18*'CARTA SEMANAL'!PrecioVentaPromedio</f>
        <v/>
      </c>
    </row>
    <row r="21">
      <c r="A21" s="33" t="inlineStr">
        <is>
          <t>Equilibrio: personas por noche</t>
        </is>
      </c>
      <c r="B21" s="43">
        <f>B19/CopasPorPersona</f>
        <v/>
      </c>
      <c r="C21" s="43">
        <f>C19/CopasPorPersona</f>
        <v/>
      </c>
      <c r="D21" s="43">
        <f>D19/CopasPorPersona</f>
        <v/>
      </c>
    </row>
    <row r="23" ht="18" customHeight="1">
      <c r="A23" s="4" t="inlineStr">
        <is>
          <t>EQUILIBRIO SIN 5ta NOCHE (referencia, 4 noches/semana)</t>
        </is>
      </c>
      <c r="B23" s="2" t="n"/>
      <c r="C23" s="2" t="n"/>
      <c r="D23" s="2" t="n"/>
    </row>
    <row r="24">
      <c r="A24" s="5" t="inlineStr">
        <is>
          <t>Costos fijos mensuales (sin 5ta noche)</t>
        </is>
      </c>
      <c r="B24" s="19">
        <f>'COSTOS FIJOS Y VARIABLES'!TotalCostosFijosSin5taNoche</f>
        <v/>
      </c>
      <c r="C24" s="19">
        <f>'COSTOS FIJOS Y VARIABLES'!TotalCostosFijosSin5taNoche</f>
        <v/>
      </c>
      <c r="D24" s="19">
        <f>'COSTOS FIJOS Y VARIABLES'!TotalCostosFijosSin5taNoche</f>
        <v/>
      </c>
    </row>
    <row r="25">
      <c r="A25" s="5" t="inlineStr">
        <is>
          <t>Equilibrio: copas por mes</t>
        </is>
      </c>
      <c r="B25" s="31">
        <f>B24/B14</f>
        <v/>
      </c>
      <c r="C25" s="31">
        <f>C24/C14</f>
        <v/>
      </c>
      <c r="D25" s="31">
        <f>D24/D14</f>
        <v/>
      </c>
    </row>
    <row r="26">
      <c r="A26" s="5" t="inlineStr">
        <is>
          <t>Equilibrio: copas por noche</t>
        </is>
      </c>
      <c r="B26" s="10">
        <f>B25/NochesPorMesAlt</f>
        <v/>
      </c>
      <c r="C26" s="10">
        <f>C25/NochesPorMesAlt</f>
        <v/>
      </c>
      <c r="D26" s="10">
        <f>D25/NochesPorMesAlt</f>
        <v/>
      </c>
    </row>
    <row r="27">
      <c r="A27" s="5" t="inlineStr">
        <is>
          <t>Equilibrio: personas por noche</t>
        </is>
      </c>
      <c r="B27" s="10">
        <f>B26/CopasPorPersona</f>
        <v/>
      </c>
      <c r="C27" s="10">
        <f>C26/CopasPorPersona</f>
        <v/>
      </c>
      <c r="D27" s="10">
        <f>D26/CopasPorPersona</f>
        <v/>
      </c>
    </row>
    <row r="29" ht="18" customHeight="1">
      <c r="A29" s="4" t="inlineStr">
        <is>
          <t>EFECTO NETO DE LA 5ta NOCHE (mix 50% socias)</t>
        </is>
      </c>
      <c r="B29" s="2" t="n"/>
      <c r="C29" s="2" t="n"/>
      <c r="D29" s="2" t="n"/>
    </row>
    <row r="30">
      <c r="A30" s="41" t="inlineStr">
        <is>
          <t>Δ Equilibrio en personas/noche (5 noches vs. 4 noches)</t>
        </is>
      </c>
      <c r="B30" s="10">
        <f>C21-C27</f>
        <v/>
      </c>
    </row>
    <row r="31">
      <c r="A31" s="41" t="inlineStr">
        <is>
          <t>Δ Costo fijo mensual (5 noches vs. 4 noches)</t>
        </is>
      </c>
      <c r="B31" s="19">
        <f>C17-C24</f>
        <v/>
      </c>
    </row>
    <row r="32" ht="48" customHeight="1">
      <c r="A32" s="8" t="inlineStr">
        <is>
          <t>La 5ta noche baja el equilibrio POR NOCHE (el costo fijo se reparte en más noches), pero sube el costo fijo MENSUAL total (personal y servicios extra). El resultado neto depende de si esa noche adicional genera suficiente contribución marginal para cubrir su propio costo incremental — ver hoja RENTABILIDAD POR NOCHE.</t>
        </is>
      </c>
    </row>
    <row r="34">
      <c r="A34" s="16" t="n"/>
      <c r="B34" s="16" t="n"/>
      <c r="C34" s="16" t="n"/>
      <c r="D34" s="16" t="n"/>
    </row>
  </sheetData>
  <mergeCells count="6">
    <mergeCell ref="A1:D1"/>
    <mergeCell ref="A23:D23"/>
    <mergeCell ref="A29:D29"/>
    <mergeCell ref="A16:D16"/>
    <mergeCell ref="A2:D2"/>
    <mergeCell ref="A32:D3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zoomScale="10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1" customWidth="1" min="12" max="12"/>
    <col width="13" customWidth="1" min="13" max="13"/>
    <col width="14" customWidth="1" min="14" max="14"/>
    <col width="12" customWidth="1" min="15" max="15"/>
    <col width="10" customWidth="1" min="16" max="16"/>
    <col width="13" customWidth="1" min="17" max="17"/>
  </cols>
  <sheetData>
    <row r="1" ht="22" customHeight="1">
      <c r="A1" s="1" t="inlineStr">
        <is>
          <t>RENTABILIDAD POR NOCHE — martes a sábado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0" customHeight="1">
      <c r="A2" s="3" t="inlineStr">
        <is>
          <t>Día</t>
        </is>
      </c>
      <c r="B2" s="3" t="inlineStr">
        <is>
          <t>Personas
estimadas</t>
        </is>
      </c>
      <c r="C2" s="3" t="inlineStr">
        <is>
          <t>Copas
vendidas</t>
        </is>
      </c>
      <c r="D2" s="3" t="inlineStr">
        <is>
          <t>Ingreso
copas</t>
        </is>
      </c>
      <c r="E2" s="3" t="inlineStr">
        <is>
          <t>Ingreso
tapeo</t>
        </is>
      </c>
      <c r="F2" s="3" t="inlineStr">
        <is>
          <t>Ingreso
total</t>
        </is>
      </c>
      <c r="G2" s="3" t="inlineStr">
        <is>
          <t>Costo var.
vino</t>
        </is>
      </c>
      <c r="H2" s="3" t="inlineStr">
        <is>
          <t>Costo var.
tapeo</t>
        </is>
      </c>
      <c r="I2" s="3" t="inlineStr">
        <is>
          <t>Comisión
medios pago</t>
        </is>
      </c>
      <c r="J2" s="3" t="inlineStr">
        <is>
          <t>Costo var.
total</t>
        </is>
      </c>
      <c r="K2" s="3" t="inlineStr">
        <is>
          <t>Contrib.
marg. noche</t>
        </is>
      </c>
      <c r="L2" s="3" t="inlineStr">
        <is>
          <t>Ocurrencias
/mes</t>
        </is>
      </c>
      <c r="M2" s="3" t="inlineStr">
        <is>
          <t>Costo fijo
asignado/mes</t>
        </is>
      </c>
      <c r="N2" s="3" t="inlineStr">
        <is>
          <t>Contrib. marg.
mensual</t>
        </is>
      </c>
      <c r="O2" s="3" t="inlineStr">
        <is>
          <t>Resultado
mensual</t>
        </is>
      </c>
      <c r="P2" s="3" t="inlineStr">
        <is>
          <t>Simular
cierre</t>
        </is>
      </c>
      <c r="Q2" s="3" t="inlineStr">
        <is>
          <t>Impacto si
se cierra ($/mes)</t>
        </is>
      </c>
    </row>
    <row r="3">
      <c r="A3" s="17" t="inlineStr">
        <is>
          <t>Martes</t>
        </is>
      </c>
      <c r="B3" s="6" t="n">
        <v>20</v>
      </c>
      <c r="C3" s="10">
        <f>B3*CopasPorPersona</f>
        <v/>
      </c>
      <c r="D3" s="19">
        <f>C3*'CARTA SEMANAL'!PrecioVentaPromedio</f>
        <v/>
      </c>
      <c r="E3" s="19">
        <f>B3*PctClientesTapeo*TAPEO!TicketTapeoPromedio</f>
        <v/>
      </c>
      <c r="F3" s="19">
        <f>D3+E3</f>
        <v/>
      </c>
      <c r="G3" s="19">
        <f>C3*'PUNTO DE EQUILIBRIO'!CostoPorCopaCompraPromedio*(1-PctBodegasSocias)</f>
        <v/>
      </c>
      <c r="H3" s="19">
        <f>E3*TAPEO!TapeoCostoPct</f>
        <v/>
      </c>
      <c r="I3" s="19">
        <f>F3*PctComisionMedioPago</f>
        <v/>
      </c>
      <c r="J3" s="19">
        <f>G3+H3+I3</f>
        <v/>
      </c>
      <c r="K3" s="19">
        <f>F3-J3</f>
        <v/>
      </c>
      <c r="L3" s="10">
        <f>NochesPorMes/5</f>
        <v/>
      </c>
      <c r="M3" s="19">
        <f>'COSTOS FIJOS Y VARIABLES'!TotalCostosFijos5Noches/5</f>
        <v/>
      </c>
      <c r="N3" s="19">
        <f>K3*L3</f>
        <v/>
      </c>
      <c r="O3" s="19">
        <f>N3-M3</f>
        <v/>
      </c>
      <c r="P3" s="18" t="inlineStr">
        <is>
          <t>No</t>
        </is>
      </c>
      <c r="Q3" s="19">
        <f>IF(P3="Sí",-N3+PersonalApoyo5taNoche+ServiciosExtra5taNoche,0)</f>
        <v/>
      </c>
    </row>
    <row r="4">
      <c r="A4" s="17" t="inlineStr">
        <is>
          <t>Miércoles</t>
        </is>
      </c>
      <c r="B4" s="6" t="n">
        <v>24</v>
      </c>
      <c r="C4" s="10">
        <f>B4*CopasPorPersona</f>
        <v/>
      </c>
      <c r="D4" s="19">
        <f>C4*'CARTA SEMANAL'!PrecioVentaPromedio</f>
        <v/>
      </c>
      <c r="E4" s="19">
        <f>B4*PctClientesTapeo*TAPEO!TicketTapeoPromedio</f>
        <v/>
      </c>
      <c r="F4" s="19">
        <f>D4+E4</f>
        <v/>
      </c>
      <c r="G4" s="19">
        <f>C4*'PUNTO DE EQUILIBRIO'!CostoPorCopaCompraPromedio*(1-PctBodegasSocias)</f>
        <v/>
      </c>
      <c r="H4" s="19">
        <f>E4*TAPEO!TapeoCostoPct</f>
        <v/>
      </c>
      <c r="I4" s="19">
        <f>F4*PctComisionMedioPago</f>
        <v/>
      </c>
      <c r="J4" s="19">
        <f>G4+H4+I4</f>
        <v/>
      </c>
      <c r="K4" s="19">
        <f>F4-J4</f>
        <v/>
      </c>
      <c r="L4" s="10">
        <f>NochesPorMes/5</f>
        <v/>
      </c>
      <c r="M4" s="19">
        <f>'COSTOS FIJOS Y VARIABLES'!TotalCostosFijos5Noches/5</f>
        <v/>
      </c>
      <c r="N4" s="19">
        <f>K4*L4</f>
        <v/>
      </c>
      <c r="O4" s="19">
        <f>N4-M4</f>
        <v/>
      </c>
      <c r="P4" s="18" t="inlineStr">
        <is>
          <t>No</t>
        </is>
      </c>
      <c r="Q4" s="19">
        <f>IF(P4="Sí",-N4,0)</f>
        <v/>
      </c>
    </row>
    <row r="5">
      <c r="A5" s="17" t="inlineStr">
        <is>
          <t>Jueves</t>
        </is>
      </c>
      <c r="B5" s="6" t="n">
        <v>30</v>
      </c>
      <c r="C5" s="10">
        <f>B5*CopasPorPersona</f>
        <v/>
      </c>
      <c r="D5" s="19">
        <f>C5*'CARTA SEMANAL'!PrecioVentaPromedio</f>
        <v/>
      </c>
      <c r="E5" s="19">
        <f>B5*PctClientesTapeo*TAPEO!TicketTapeoPromedio</f>
        <v/>
      </c>
      <c r="F5" s="19">
        <f>D5+E5</f>
        <v/>
      </c>
      <c r="G5" s="19">
        <f>C5*'PUNTO DE EQUILIBRIO'!CostoPorCopaCompraPromedio*(1-PctBodegasSocias)</f>
        <v/>
      </c>
      <c r="H5" s="19">
        <f>E5*TAPEO!TapeoCostoPct</f>
        <v/>
      </c>
      <c r="I5" s="19">
        <f>F5*PctComisionMedioPago</f>
        <v/>
      </c>
      <c r="J5" s="19">
        <f>G5+H5+I5</f>
        <v/>
      </c>
      <c r="K5" s="19">
        <f>F5-J5</f>
        <v/>
      </c>
      <c r="L5" s="10">
        <f>NochesPorMes/5</f>
        <v/>
      </c>
      <c r="M5" s="19">
        <f>'COSTOS FIJOS Y VARIABLES'!TotalCostosFijos5Noches/5</f>
        <v/>
      </c>
      <c r="N5" s="19">
        <f>K5*L5</f>
        <v/>
      </c>
      <c r="O5" s="19">
        <f>N5-M5</f>
        <v/>
      </c>
      <c r="P5" s="18" t="inlineStr">
        <is>
          <t>No</t>
        </is>
      </c>
      <c r="Q5" s="19">
        <f>IF(P5="Sí",-N5,0)</f>
        <v/>
      </c>
    </row>
    <row r="6">
      <c r="A6" s="17" t="inlineStr">
        <is>
          <t>Viernes</t>
        </is>
      </c>
      <c r="B6" s="6" t="n">
        <v>45</v>
      </c>
      <c r="C6" s="10">
        <f>B6*CopasPorPersona</f>
        <v/>
      </c>
      <c r="D6" s="19">
        <f>C6*'CARTA SEMANAL'!PrecioVentaPromedio</f>
        <v/>
      </c>
      <c r="E6" s="19">
        <f>B6*PctClientesTapeo*TAPEO!TicketTapeoPromedio</f>
        <v/>
      </c>
      <c r="F6" s="19">
        <f>D6+E6</f>
        <v/>
      </c>
      <c r="G6" s="19">
        <f>C6*'PUNTO DE EQUILIBRIO'!CostoPorCopaCompraPromedio*(1-PctBodegasSocias)</f>
        <v/>
      </c>
      <c r="H6" s="19">
        <f>E6*TAPEO!TapeoCostoPct</f>
        <v/>
      </c>
      <c r="I6" s="19">
        <f>F6*PctComisionMedioPago</f>
        <v/>
      </c>
      <c r="J6" s="19">
        <f>G6+H6+I6</f>
        <v/>
      </c>
      <c r="K6" s="19">
        <f>F6-J6</f>
        <v/>
      </c>
      <c r="L6" s="10">
        <f>NochesPorMes/5</f>
        <v/>
      </c>
      <c r="M6" s="19">
        <f>'COSTOS FIJOS Y VARIABLES'!TotalCostosFijos5Noches/5</f>
        <v/>
      </c>
      <c r="N6" s="19">
        <f>K6*L6</f>
        <v/>
      </c>
      <c r="O6" s="19">
        <f>N6-M6</f>
        <v/>
      </c>
      <c r="P6" s="18" t="inlineStr">
        <is>
          <t>No</t>
        </is>
      </c>
      <c r="Q6" s="19">
        <f>IF(P6="Sí",-N6,0)</f>
        <v/>
      </c>
    </row>
    <row r="7">
      <c r="A7" s="17" t="inlineStr">
        <is>
          <t>Sábado</t>
        </is>
      </c>
      <c r="B7" s="6" t="n">
        <v>50</v>
      </c>
      <c r="C7" s="10">
        <f>B7*CopasPorPersona</f>
        <v/>
      </c>
      <c r="D7" s="19">
        <f>C7*'CARTA SEMANAL'!PrecioVentaPromedio</f>
        <v/>
      </c>
      <c r="E7" s="19">
        <f>B7*PctClientesTapeo*TAPEO!TicketTapeoPromedio</f>
        <v/>
      </c>
      <c r="F7" s="19">
        <f>D7+E7</f>
        <v/>
      </c>
      <c r="G7" s="19">
        <f>C7*'PUNTO DE EQUILIBRIO'!CostoPorCopaCompraPromedio*(1-PctBodegasSocias)</f>
        <v/>
      </c>
      <c r="H7" s="19">
        <f>E7*TAPEO!TapeoCostoPct</f>
        <v/>
      </c>
      <c r="I7" s="19">
        <f>F7*PctComisionMedioPago</f>
        <v/>
      </c>
      <c r="J7" s="19">
        <f>G7+H7+I7</f>
        <v/>
      </c>
      <c r="K7" s="19">
        <f>F7-J7</f>
        <v/>
      </c>
      <c r="L7" s="10">
        <f>NochesPorMes/5</f>
        <v/>
      </c>
      <c r="M7" s="19">
        <f>'COSTOS FIJOS Y VARIABLES'!TotalCostosFijos5Noches/5</f>
        <v/>
      </c>
      <c r="N7" s="19">
        <f>K7*L7</f>
        <v/>
      </c>
      <c r="O7" s="19">
        <f>N7-M7</f>
        <v/>
      </c>
      <c r="P7" s="18" t="inlineStr">
        <is>
          <t>No</t>
        </is>
      </c>
      <c r="Q7" s="19">
        <f>IF(P7="Sí",-N7,0)</f>
        <v/>
      </c>
    </row>
    <row r="8">
      <c r="A8" s="22" t="inlineStr">
        <is>
          <t>TOTAL SEMANA</t>
        </is>
      </c>
      <c r="B8" s="27">
        <f>SUM(B3:B7)</f>
        <v/>
      </c>
      <c r="C8" s="44">
        <f>SUM(C3:C7)</f>
        <v/>
      </c>
      <c r="D8" s="24">
        <f>SUM(D3:D7)</f>
        <v/>
      </c>
      <c r="E8" s="24">
        <f>SUM(E3:E7)</f>
        <v/>
      </c>
      <c r="F8" s="24">
        <f>SUM(F3:F7)</f>
        <v/>
      </c>
      <c r="G8" s="24">
        <f>SUM(G3:G7)</f>
        <v/>
      </c>
      <c r="H8" s="24">
        <f>SUM(H3:H7)</f>
        <v/>
      </c>
      <c r="I8" s="24">
        <f>SUM(I3:I7)</f>
        <v/>
      </c>
      <c r="J8" s="24">
        <f>SUM(J3:J7)</f>
        <v/>
      </c>
      <c r="K8" s="24">
        <f>SUM(K3:K7)</f>
        <v/>
      </c>
      <c r="L8" s="25" t="n"/>
      <c r="M8" s="25" t="n"/>
      <c r="N8" s="24">
        <f>SUM(N3:N7)</f>
        <v/>
      </c>
      <c r="O8" s="24">
        <f>SUM(O3:O7)</f>
        <v/>
      </c>
      <c r="P8" s="25" t="n"/>
      <c r="Q8" s="24">
        <f>SUM(Q3:Q7)</f>
        <v/>
      </c>
    </row>
    <row r="10">
      <c r="A10" s="33" t="inlineStr">
        <is>
          <t>Resultado mensual total (sin simular cierres)</t>
        </is>
      </c>
      <c r="E10" s="29">
        <f>SUM(O3:O7)</f>
        <v/>
      </c>
    </row>
    <row r="11">
      <c r="A11" s="33" t="inlineStr">
        <is>
          <t>Resultado mensual simulado (con cierres marcados)</t>
        </is>
      </c>
      <c r="E11" s="29">
        <f>E10+SUM(Q3:Q7)</f>
        <v/>
      </c>
    </row>
    <row r="12">
      <c r="A12" s="5" t="inlineStr">
        <is>
          <t>Diferencia por cierres simulados</t>
        </is>
      </c>
      <c r="E12" s="19">
        <f>E11-E10</f>
        <v/>
      </c>
    </row>
    <row r="14" ht="44" customHeight="1">
      <c r="A14" s="8" t="inlineStr">
        <is>
          <t>Martes está marcado como la noche marginal (5ta noche agregada al horario de 4 noches). Si se simula su cierre, además de perder su contribución marginal mensual se ahorra el personal de apoyo y el extra de servicios de la 5ta noche. Para las demás noches, cerrarla solo resta su contribución marginal — el resto de los costos fijos no cambia.</t>
        </is>
      </c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</row>
  </sheetData>
  <mergeCells count="5">
    <mergeCell ref="A14:Q14"/>
    <mergeCell ref="A12:D12"/>
    <mergeCell ref="A11:D11"/>
    <mergeCell ref="A10:D10"/>
    <mergeCell ref="A1:Q1"/>
  </mergeCells>
  <conditionalFormatting sqref="O3:O8">
    <cfRule type="cellIs" priority="1" operator="lessThan" dxfId="0">
      <formula>0</formula>
    </cfRule>
    <cfRule type="cellIs" priority="2" operator="greaterThanOrEqual" dxfId="1">
      <formula>0</formula>
    </cfRule>
  </conditionalFormatting>
  <dataValidations count="1">
    <dataValidation sqref="P3:P7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8"/>
  <sheetViews>
    <sheetView showGridLines="0" zoomScale="10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22" customHeight="1">
      <c r="A1" s="1" t="inlineStr">
        <is>
          <t>P&amp;L MENSUAL PROYECTADO — 12 meses, con estacionalidad de Mar del Plata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18" customHeight="1">
      <c r="A2" s="3" t="inlineStr">
        <is>
          <t>Concepto</t>
        </is>
      </c>
      <c r="B2" s="3" t="inlineStr">
        <is>
          <t>Ene</t>
        </is>
      </c>
      <c r="C2" s="3" t="inlineStr">
        <is>
          <t>Feb</t>
        </is>
      </c>
      <c r="D2" s="3" t="inlineStr">
        <is>
          <t>Mar</t>
        </is>
      </c>
      <c r="E2" s="3" t="inlineStr">
        <is>
          <t>Abr</t>
        </is>
      </c>
      <c r="F2" s="3" t="inlineStr">
        <is>
          <t>May</t>
        </is>
      </c>
      <c r="G2" s="3" t="inlineStr">
        <is>
          <t>Jun</t>
        </is>
      </c>
      <c r="H2" s="3" t="inlineStr">
        <is>
          <t>Jul</t>
        </is>
      </c>
      <c r="I2" s="3" t="inlineStr">
        <is>
          <t>Ago</t>
        </is>
      </c>
      <c r="J2" s="3" t="inlineStr">
        <is>
          <t>Sep</t>
        </is>
      </c>
      <c r="K2" s="3" t="inlineStr">
        <is>
          <t>Oct</t>
        </is>
      </c>
      <c r="L2" s="3" t="inlineStr">
        <is>
          <t>Nov</t>
        </is>
      </c>
      <c r="M2" s="3" t="inlineStr">
        <is>
          <t>Dic</t>
        </is>
      </c>
    </row>
    <row r="3">
      <c r="A3" s="5" t="inlineStr">
        <is>
          <t>Índice estacional</t>
        </is>
      </c>
      <c r="B3" s="32">
        <f>IdxEne</f>
        <v/>
      </c>
      <c r="C3" s="32">
        <f>IdxFeb</f>
        <v/>
      </c>
      <c r="D3" s="32">
        <f>IdxMar</f>
        <v/>
      </c>
      <c r="E3" s="32">
        <f>IdxAbr</f>
        <v/>
      </c>
      <c r="F3" s="32">
        <f>IdxMay</f>
        <v/>
      </c>
      <c r="G3" s="32">
        <f>IdxJun</f>
        <v/>
      </c>
      <c r="H3" s="32">
        <f>IdxJul</f>
        <v/>
      </c>
      <c r="I3" s="32">
        <f>IdxAgo</f>
        <v/>
      </c>
      <c r="J3" s="32">
        <f>IdxSep</f>
        <v/>
      </c>
      <c r="K3" s="32">
        <f>IdxOct</f>
        <v/>
      </c>
      <c r="L3" s="32">
        <f>IdxNov</f>
        <v/>
      </c>
      <c r="M3" s="32">
        <f>IdxDic</f>
        <v/>
      </c>
    </row>
    <row r="4">
      <c r="A4" s="5" t="inlineStr">
        <is>
          <t>Copas vendidas (mes)</t>
        </is>
      </c>
      <c r="B4" s="31">
        <f>'COSTOS FIJOS Y VARIABLES'!CopasVendidasMesBase*B3</f>
        <v/>
      </c>
      <c r="C4" s="31">
        <f>'COSTOS FIJOS Y VARIABLES'!CopasVendidasMesBase*C3</f>
        <v/>
      </c>
      <c r="D4" s="31">
        <f>'COSTOS FIJOS Y VARIABLES'!CopasVendidasMesBase*D3</f>
        <v/>
      </c>
      <c r="E4" s="31">
        <f>'COSTOS FIJOS Y VARIABLES'!CopasVendidasMesBase*E3</f>
        <v/>
      </c>
      <c r="F4" s="31">
        <f>'COSTOS FIJOS Y VARIABLES'!CopasVendidasMesBase*F3</f>
        <v/>
      </c>
      <c r="G4" s="31">
        <f>'COSTOS FIJOS Y VARIABLES'!CopasVendidasMesBase*G3</f>
        <v/>
      </c>
      <c r="H4" s="31">
        <f>'COSTOS FIJOS Y VARIABLES'!CopasVendidasMesBase*H3</f>
        <v/>
      </c>
      <c r="I4" s="31">
        <f>'COSTOS FIJOS Y VARIABLES'!CopasVendidasMesBase*I3</f>
        <v/>
      </c>
      <c r="J4" s="31">
        <f>'COSTOS FIJOS Y VARIABLES'!CopasVendidasMesBase*J3</f>
        <v/>
      </c>
      <c r="K4" s="31">
        <f>'COSTOS FIJOS Y VARIABLES'!CopasVendidasMesBase*K3</f>
        <v/>
      </c>
      <c r="L4" s="31">
        <f>'COSTOS FIJOS Y VARIABLES'!CopasVendidasMesBase*L3</f>
        <v/>
      </c>
      <c r="M4" s="31">
        <f>'COSTOS FIJOS Y VARIABLES'!CopasVendidasMesBase*M3</f>
        <v/>
      </c>
    </row>
    <row r="5">
      <c r="A5" s="5" t="inlineStr">
        <is>
          <t>Socios club activos (auxiliar)</t>
        </is>
      </c>
      <c r="B5" s="31">
        <f>ROUND(ClubSociosInicial+(ClubSociosFinal-ClubSociosInicial)*(COLUMN()-2)/11,0)</f>
        <v/>
      </c>
      <c r="C5" s="31">
        <f>ROUND(ClubSociosInicial+(ClubSociosFinal-ClubSociosInicial)*(COLUMN()-2)/11,0)</f>
        <v/>
      </c>
      <c r="D5" s="31">
        <f>ROUND(ClubSociosInicial+(ClubSociosFinal-ClubSociosInicial)*(COLUMN()-2)/11,0)</f>
        <v/>
      </c>
      <c r="E5" s="31">
        <f>ROUND(ClubSociosInicial+(ClubSociosFinal-ClubSociosInicial)*(COLUMN()-2)/11,0)</f>
        <v/>
      </c>
      <c r="F5" s="31">
        <f>ROUND(ClubSociosInicial+(ClubSociosFinal-ClubSociosInicial)*(COLUMN()-2)/11,0)</f>
        <v/>
      </c>
      <c r="G5" s="31">
        <f>ROUND(ClubSociosInicial+(ClubSociosFinal-ClubSociosInicial)*(COLUMN()-2)/11,0)</f>
        <v/>
      </c>
      <c r="H5" s="31">
        <f>ROUND(ClubSociosInicial+(ClubSociosFinal-ClubSociosInicial)*(COLUMN()-2)/11,0)</f>
        <v/>
      </c>
      <c r="I5" s="31">
        <f>ROUND(ClubSociosInicial+(ClubSociosFinal-ClubSociosInicial)*(COLUMN()-2)/11,0)</f>
        <v/>
      </c>
      <c r="J5" s="31">
        <f>ROUND(ClubSociosInicial+(ClubSociosFinal-ClubSociosInicial)*(COLUMN()-2)/11,0)</f>
        <v/>
      </c>
      <c r="K5" s="31">
        <f>ROUND(ClubSociosInicial+(ClubSociosFinal-ClubSociosInicial)*(COLUMN()-2)/11,0)</f>
        <v/>
      </c>
      <c r="L5" s="31">
        <f>ROUND(ClubSociosInicial+(ClubSociosFinal-ClubSociosInicial)*(COLUMN()-2)/11,0)</f>
        <v/>
      </c>
      <c r="M5" s="31">
        <f>ROUND(ClubSociosInicial+(ClubSociosFinal-ClubSociosInicial)*(COLUMN()-2)/11,0)</f>
        <v/>
      </c>
    </row>
    <row r="7" ht="18" customHeight="1">
      <c r="A7" s="4" t="inlineStr">
        <is>
          <t>INGRESOS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5" t="inlineStr">
        <is>
          <t>Ingreso por copa</t>
        </is>
      </c>
      <c r="B8" s="19">
        <f>B4*'CARTA SEMANAL'!PrecioVentaPromedio</f>
        <v/>
      </c>
      <c r="C8" s="19">
        <f>C4*'CARTA SEMANAL'!PrecioVentaPromedio</f>
        <v/>
      </c>
      <c r="D8" s="19">
        <f>D4*'CARTA SEMANAL'!PrecioVentaPromedio</f>
        <v/>
      </c>
      <c r="E8" s="19">
        <f>E4*'CARTA SEMANAL'!PrecioVentaPromedio</f>
        <v/>
      </c>
      <c r="F8" s="19">
        <f>F4*'CARTA SEMANAL'!PrecioVentaPromedio</f>
        <v/>
      </c>
      <c r="G8" s="19">
        <f>G4*'CARTA SEMANAL'!PrecioVentaPromedio</f>
        <v/>
      </c>
      <c r="H8" s="19">
        <f>H4*'CARTA SEMANAL'!PrecioVentaPromedio</f>
        <v/>
      </c>
      <c r="I8" s="19">
        <f>I4*'CARTA SEMANAL'!PrecioVentaPromedio</f>
        <v/>
      </c>
      <c r="J8" s="19">
        <f>J4*'CARTA SEMANAL'!PrecioVentaPromedio</f>
        <v/>
      </c>
      <c r="K8" s="19">
        <f>K4*'CARTA SEMANAL'!PrecioVentaPromedio</f>
        <v/>
      </c>
      <c r="L8" s="19">
        <f>L4*'CARTA SEMANAL'!PrecioVentaPromedio</f>
        <v/>
      </c>
      <c r="M8" s="19">
        <f>M4*'CARTA SEMANAL'!PrecioVentaPromedio</f>
        <v/>
      </c>
    </row>
    <row r="9">
      <c r="A9" s="5" t="inlineStr">
        <is>
          <t>Ingreso tapeo</t>
        </is>
      </c>
      <c r="B9" s="19">
        <f>(B4/CopasPorPersona)*PctClientesTapeo*TAPEO!TicketTapeoPromedio</f>
        <v/>
      </c>
      <c r="C9" s="19">
        <f>(C4/CopasPorPersona)*PctClientesTapeo*TAPEO!TicketTapeoPromedio</f>
        <v/>
      </c>
      <c r="D9" s="19">
        <f>(D4/CopasPorPersona)*PctClientesTapeo*TAPEO!TicketTapeoPromedio</f>
        <v/>
      </c>
      <c r="E9" s="19">
        <f>(E4/CopasPorPersona)*PctClientesTapeo*TAPEO!TicketTapeoPromedio</f>
        <v/>
      </c>
      <c r="F9" s="19">
        <f>(F4/CopasPorPersona)*PctClientesTapeo*TAPEO!TicketTapeoPromedio</f>
        <v/>
      </c>
      <c r="G9" s="19">
        <f>(G4/CopasPorPersona)*PctClientesTapeo*TAPEO!TicketTapeoPromedio</f>
        <v/>
      </c>
      <c r="H9" s="19">
        <f>(H4/CopasPorPersona)*PctClientesTapeo*TAPEO!TicketTapeoPromedio</f>
        <v/>
      </c>
      <c r="I9" s="19">
        <f>(I4/CopasPorPersona)*PctClientesTapeo*TAPEO!TicketTapeoPromedio</f>
        <v/>
      </c>
      <c r="J9" s="19">
        <f>(J4/CopasPorPersona)*PctClientesTapeo*TAPEO!TicketTapeoPromedio</f>
        <v/>
      </c>
      <c r="K9" s="19">
        <f>(K4/CopasPorPersona)*PctClientesTapeo*TAPEO!TicketTapeoPromedio</f>
        <v/>
      </c>
      <c r="L9" s="19">
        <f>(L4/CopasPorPersona)*PctClientesTapeo*TAPEO!TicketTapeoPromedio</f>
        <v/>
      </c>
      <c r="M9" s="19">
        <f>(M4/CopasPorPersona)*PctClientesTapeo*TAPEO!TicketTapeoPromedio</f>
        <v/>
      </c>
    </row>
    <row r="10">
      <c r="A10" s="5" t="inlineStr">
        <is>
          <t>Ingreso club de socios</t>
        </is>
      </c>
      <c r="B10" s="19">
        <f>B5*ClubSociosCuotaPromedio</f>
        <v/>
      </c>
      <c r="C10" s="19">
        <f>C5*ClubSociosCuotaPromedio</f>
        <v/>
      </c>
      <c r="D10" s="19">
        <f>D5*ClubSociosCuotaPromedio</f>
        <v/>
      </c>
      <c r="E10" s="19">
        <f>E5*ClubSociosCuotaPromedio</f>
        <v/>
      </c>
      <c r="F10" s="19">
        <f>F5*ClubSociosCuotaPromedio</f>
        <v/>
      </c>
      <c r="G10" s="19">
        <f>G5*ClubSociosCuotaPromedio</f>
        <v/>
      </c>
      <c r="H10" s="19">
        <f>H5*ClubSociosCuotaPromedio</f>
        <v/>
      </c>
      <c r="I10" s="19">
        <f>I5*ClubSociosCuotaPromedio</f>
        <v/>
      </c>
      <c r="J10" s="19">
        <f>J5*ClubSociosCuotaPromedio</f>
        <v/>
      </c>
      <c r="K10" s="19">
        <f>K5*ClubSociosCuotaPromedio</f>
        <v/>
      </c>
      <c r="L10" s="19">
        <f>L5*ClubSociosCuotaPromedio</f>
        <v/>
      </c>
      <c r="M10" s="19">
        <f>M5*ClubSociosCuotaPromedio</f>
        <v/>
      </c>
    </row>
    <row r="11">
      <c r="A11" s="5" t="inlineStr">
        <is>
          <t>Ingreso eventos (alquiler del espacio)</t>
        </is>
      </c>
      <c r="B11" s="19">
        <f>IngresoEventosMensual</f>
        <v/>
      </c>
      <c r="C11" s="19">
        <f>IngresoEventosMensual</f>
        <v/>
      </c>
      <c r="D11" s="19">
        <f>IngresoEventosMensual</f>
        <v/>
      </c>
      <c r="E11" s="19">
        <f>IngresoEventosMensual</f>
        <v/>
      </c>
      <c r="F11" s="19">
        <f>IngresoEventosMensual</f>
        <v/>
      </c>
      <c r="G11" s="19">
        <f>IngresoEventosMensual</f>
        <v/>
      </c>
      <c r="H11" s="19">
        <f>IngresoEventosMensual</f>
        <v/>
      </c>
      <c r="I11" s="19">
        <f>IngresoEventosMensual</f>
        <v/>
      </c>
      <c r="J11" s="19">
        <f>IngresoEventosMensual</f>
        <v/>
      </c>
      <c r="K11" s="19">
        <f>IngresoEventosMensual</f>
        <v/>
      </c>
      <c r="L11" s="19">
        <f>IngresoEventosMensual</f>
        <v/>
      </c>
      <c r="M11" s="19">
        <f>IngresoEventosMensual</f>
        <v/>
      </c>
    </row>
    <row r="12">
      <c r="A12" s="22" t="inlineStr">
        <is>
          <t>TOTAL INGRESOS</t>
        </is>
      </c>
      <c r="B12" s="24">
        <f>SUM(B8:B11)</f>
        <v/>
      </c>
      <c r="C12" s="24">
        <f>SUM(C8:C11)</f>
        <v/>
      </c>
      <c r="D12" s="24">
        <f>SUM(D8:D11)</f>
        <v/>
      </c>
      <c r="E12" s="24">
        <f>SUM(E8:E11)</f>
        <v/>
      </c>
      <c r="F12" s="24">
        <f>SUM(F8:F11)</f>
        <v/>
      </c>
      <c r="G12" s="24">
        <f>SUM(G8:G11)</f>
        <v/>
      </c>
      <c r="H12" s="24">
        <f>SUM(H8:H11)</f>
        <v/>
      </c>
      <c r="I12" s="24">
        <f>SUM(I8:I11)</f>
        <v/>
      </c>
      <c r="J12" s="24">
        <f>SUM(J8:J11)</f>
        <v/>
      </c>
      <c r="K12" s="24">
        <f>SUM(K8:K11)</f>
        <v/>
      </c>
      <c r="L12" s="24">
        <f>SUM(L8:L11)</f>
        <v/>
      </c>
      <c r="M12" s="24">
        <f>SUM(M8:M11)</f>
        <v/>
      </c>
    </row>
    <row r="14" ht="18" customHeight="1">
      <c r="A14" s="4" t="inlineStr">
        <is>
          <t>COSTOS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5" t="inlineStr">
        <is>
          <t>Costo de vino</t>
        </is>
      </c>
      <c r="B15" s="19">
        <f>B4*'PUNTO DE EQUILIBRIO'!CostoPorCopaCompraPromedio*(1-PctBodegasSocias)*(1+InflacionMensual)^(COLUMN()-2)</f>
        <v/>
      </c>
      <c r="C15" s="19">
        <f>C4*'PUNTO DE EQUILIBRIO'!CostoPorCopaCompraPromedio*(1-PctBodegasSocias)*(1+InflacionMensual)^(COLUMN()-2)</f>
        <v/>
      </c>
      <c r="D15" s="19">
        <f>D4*'PUNTO DE EQUILIBRIO'!CostoPorCopaCompraPromedio*(1-PctBodegasSocias)*(1+InflacionMensual)^(COLUMN()-2)</f>
        <v/>
      </c>
      <c r="E15" s="19">
        <f>E4*'PUNTO DE EQUILIBRIO'!CostoPorCopaCompraPromedio*(1-PctBodegasSocias)*(1+InflacionMensual)^(COLUMN()-2)</f>
        <v/>
      </c>
      <c r="F15" s="19">
        <f>F4*'PUNTO DE EQUILIBRIO'!CostoPorCopaCompraPromedio*(1-PctBodegasSocias)*(1+InflacionMensual)^(COLUMN()-2)</f>
        <v/>
      </c>
      <c r="G15" s="19">
        <f>G4*'PUNTO DE EQUILIBRIO'!CostoPorCopaCompraPromedio*(1-PctBodegasSocias)*(1+InflacionMensual)^(COLUMN()-2)</f>
        <v/>
      </c>
      <c r="H15" s="19">
        <f>H4*'PUNTO DE EQUILIBRIO'!CostoPorCopaCompraPromedio*(1-PctBodegasSocias)*(1+InflacionMensual)^(COLUMN()-2)</f>
        <v/>
      </c>
      <c r="I15" s="19">
        <f>I4*'PUNTO DE EQUILIBRIO'!CostoPorCopaCompraPromedio*(1-PctBodegasSocias)*(1+InflacionMensual)^(COLUMN()-2)</f>
        <v/>
      </c>
      <c r="J15" s="19">
        <f>J4*'PUNTO DE EQUILIBRIO'!CostoPorCopaCompraPromedio*(1-PctBodegasSocias)*(1+InflacionMensual)^(COLUMN()-2)</f>
        <v/>
      </c>
      <c r="K15" s="19">
        <f>K4*'PUNTO DE EQUILIBRIO'!CostoPorCopaCompraPromedio*(1-PctBodegasSocias)*(1+InflacionMensual)^(COLUMN()-2)</f>
        <v/>
      </c>
      <c r="L15" s="19">
        <f>L4*'PUNTO DE EQUILIBRIO'!CostoPorCopaCompraPromedio*(1-PctBodegasSocias)*(1+InflacionMensual)^(COLUMN()-2)</f>
        <v/>
      </c>
      <c r="M15" s="19">
        <f>M4*'PUNTO DE EQUILIBRIO'!CostoPorCopaCompraPromedio*(1-PctBodegasSocias)*(1+InflacionMensual)^(COLUMN()-2)</f>
        <v/>
      </c>
    </row>
    <row r="16">
      <c r="A16" s="5" t="inlineStr">
        <is>
          <t>Costo de tapeo</t>
        </is>
      </c>
      <c r="B16" s="19">
        <f>B9*TAPEO!TapeoCostoPct*(1+InflacionMensual)^(COLUMN()-2)</f>
        <v/>
      </c>
      <c r="C16" s="19">
        <f>C9*TAPEO!TapeoCostoPct*(1+InflacionMensual)^(COLUMN()-2)</f>
        <v/>
      </c>
      <c r="D16" s="19">
        <f>D9*TAPEO!TapeoCostoPct*(1+InflacionMensual)^(COLUMN()-2)</f>
        <v/>
      </c>
      <c r="E16" s="19">
        <f>E9*TAPEO!TapeoCostoPct*(1+InflacionMensual)^(COLUMN()-2)</f>
        <v/>
      </c>
      <c r="F16" s="19">
        <f>F9*TAPEO!TapeoCostoPct*(1+InflacionMensual)^(COLUMN()-2)</f>
        <v/>
      </c>
      <c r="G16" s="19">
        <f>G9*TAPEO!TapeoCostoPct*(1+InflacionMensual)^(COLUMN()-2)</f>
        <v/>
      </c>
      <c r="H16" s="19">
        <f>H9*TAPEO!TapeoCostoPct*(1+InflacionMensual)^(COLUMN()-2)</f>
        <v/>
      </c>
      <c r="I16" s="19">
        <f>I9*TAPEO!TapeoCostoPct*(1+InflacionMensual)^(COLUMN()-2)</f>
        <v/>
      </c>
      <c r="J16" s="19">
        <f>J9*TAPEO!TapeoCostoPct*(1+InflacionMensual)^(COLUMN()-2)</f>
        <v/>
      </c>
      <c r="K16" s="19">
        <f>K9*TAPEO!TapeoCostoPct*(1+InflacionMensual)^(COLUMN()-2)</f>
        <v/>
      </c>
      <c r="L16" s="19">
        <f>L9*TAPEO!TapeoCostoPct*(1+InflacionMensual)^(COLUMN()-2)</f>
        <v/>
      </c>
      <c r="M16" s="19">
        <f>M9*TAPEO!TapeoCostoPct*(1+InflacionMensual)^(COLUMN()-2)</f>
        <v/>
      </c>
    </row>
    <row r="17">
      <c r="A17" s="5" t="inlineStr">
        <is>
          <t xml:space="preserve">  · Comisión medios de pago (auxiliar)</t>
        </is>
      </c>
      <c r="B17" s="19">
        <f>B12*PctComisionMedioPago</f>
        <v/>
      </c>
      <c r="C17" s="19">
        <f>C12*PctComisionMedioPago</f>
        <v/>
      </c>
      <c r="D17" s="19">
        <f>D12*PctComisionMedioPago</f>
        <v/>
      </c>
      <c r="E17" s="19">
        <f>E12*PctComisionMedioPago</f>
        <v/>
      </c>
      <c r="F17" s="19">
        <f>F12*PctComisionMedioPago</f>
        <v/>
      </c>
      <c r="G17" s="19">
        <f>G12*PctComisionMedioPago</f>
        <v/>
      </c>
      <c r="H17" s="19">
        <f>H12*PctComisionMedioPago</f>
        <v/>
      </c>
      <c r="I17" s="19">
        <f>I12*PctComisionMedioPago</f>
        <v/>
      </c>
      <c r="J17" s="19">
        <f>J12*PctComisionMedioPago</f>
        <v/>
      </c>
      <c r="K17" s="19">
        <f>K12*PctComisionMedioPago</f>
        <v/>
      </c>
      <c r="L17" s="19">
        <f>L12*PctComisionMedioPago</f>
        <v/>
      </c>
      <c r="M17" s="19">
        <f>M12*PctComisionMedioPago</f>
        <v/>
      </c>
    </row>
    <row r="18">
      <c r="A18" s="5" t="inlineStr">
        <is>
          <t xml:space="preserve">  · Insumos de limpieza (auxiliar)</t>
        </is>
      </c>
      <c r="B18" s="19">
        <f>CostoLimpiezaPorNoche*NochesPorMes*(1+InflacionMensual)^(COLUMN()-2)</f>
        <v/>
      </c>
      <c r="C18" s="19">
        <f>CostoLimpiezaPorNoche*NochesPorMes*(1+InflacionMensual)^(COLUMN()-2)</f>
        <v/>
      </c>
      <c r="D18" s="19">
        <f>CostoLimpiezaPorNoche*NochesPorMes*(1+InflacionMensual)^(COLUMN()-2)</f>
        <v/>
      </c>
      <c r="E18" s="19">
        <f>CostoLimpiezaPorNoche*NochesPorMes*(1+InflacionMensual)^(COLUMN()-2)</f>
        <v/>
      </c>
      <c r="F18" s="19">
        <f>CostoLimpiezaPorNoche*NochesPorMes*(1+InflacionMensual)^(COLUMN()-2)</f>
        <v/>
      </c>
      <c r="G18" s="19">
        <f>CostoLimpiezaPorNoche*NochesPorMes*(1+InflacionMensual)^(COLUMN()-2)</f>
        <v/>
      </c>
      <c r="H18" s="19">
        <f>CostoLimpiezaPorNoche*NochesPorMes*(1+InflacionMensual)^(COLUMN()-2)</f>
        <v/>
      </c>
      <c r="I18" s="19">
        <f>CostoLimpiezaPorNoche*NochesPorMes*(1+InflacionMensual)^(COLUMN()-2)</f>
        <v/>
      </c>
      <c r="J18" s="19">
        <f>CostoLimpiezaPorNoche*NochesPorMes*(1+InflacionMensual)^(COLUMN()-2)</f>
        <v/>
      </c>
      <c r="K18" s="19">
        <f>CostoLimpiezaPorNoche*NochesPorMes*(1+InflacionMensual)^(COLUMN()-2)</f>
        <v/>
      </c>
      <c r="L18" s="19">
        <f>CostoLimpiezaPorNoche*NochesPorMes*(1+InflacionMensual)^(COLUMN()-2)</f>
        <v/>
      </c>
      <c r="M18" s="19">
        <f>CostoLimpiezaPorNoche*NochesPorMes*(1+InflacionMensual)^(COLUMN()-2)</f>
        <v/>
      </c>
    </row>
    <row r="19">
      <c r="A19" s="5" t="inlineStr">
        <is>
          <t xml:space="preserve">  · Cristalería de reposición (auxiliar)</t>
        </is>
      </c>
      <c r="B19" s="19">
        <f>B4*PctRoturasCristaleria*CostoReposicionCopaUnidad*(1+InflacionMensual)^(COLUMN()-2)</f>
        <v/>
      </c>
      <c r="C19" s="19">
        <f>C4*PctRoturasCristaleria*CostoReposicionCopaUnidad*(1+InflacionMensual)^(COLUMN()-2)</f>
        <v/>
      </c>
      <c r="D19" s="19">
        <f>D4*PctRoturasCristaleria*CostoReposicionCopaUnidad*(1+InflacionMensual)^(COLUMN()-2)</f>
        <v/>
      </c>
      <c r="E19" s="19">
        <f>E4*PctRoturasCristaleria*CostoReposicionCopaUnidad*(1+InflacionMensual)^(COLUMN()-2)</f>
        <v/>
      </c>
      <c r="F19" s="19">
        <f>F4*PctRoturasCristaleria*CostoReposicionCopaUnidad*(1+InflacionMensual)^(COLUMN()-2)</f>
        <v/>
      </c>
      <c r="G19" s="19">
        <f>G4*PctRoturasCristaleria*CostoReposicionCopaUnidad*(1+InflacionMensual)^(COLUMN()-2)</f>
        <v/>
      </c>
      <c r="H19" s="19">
        <f>H4*PctRoturasCristaleria*CostoReposicionCopaUnidad*(1+InflacionMensual)^(COLUMN()-2)</f>
        <v/>
      </c>
      <c r="I19" s="19">
        <f>I4*PctRoturasCristaleria*CostoReposicionCopaUnidad*(1+InflacionMensual)^(COLUMN()-2)</f>
        <v/>
      </c>
      <c r="J19" s="19">
        <f>J4*PctRoturasCristaleria*CostoReposicionCopaUnidad*(1+InflacionMensual)^(COLUMN()-2)</f>
        <v/>
      </c>
      <c r="K19" s="19">
        <f>K4*PctRoturasCristaleria*CostoReposicionCopaUnidad*(1+InflacionMensual)^(COLUMN()-2)</f>
        <v/>
      </c>
      <c r="L19" s="19">
        <f>L4*PctRoturasCristaleria*CostoReposicionCopaUnidad*(1+InflacionMensual)^(COLUMN()-2)</f>
        <v/>
      </c>
      <c r="M19" s="19">
        <f>M4*PctRoturasCristaleria*CostoReposicionCopaUnidad*(1+InflacionMensual)^(COLUMN()-2)</f>
        <v/>
      </c>
    </row>
    <row r="20">
      <c r="A20" s="5" t="inlineStr">
        <is>
          <t>Costos variables (total)</t>
        </is>
      </c>
      <c r="B20" s="19">
        <f>B17+B18+B19</f>
        <v/>
      </c>
      <c r="C20" s="19">
        <f>C17+C18+C19</f>
        <v/>
      </c>
      <c r="D20" s="19">
        <f>D17+D18+D19</f>
        <v/>
      </c>
      <c r="E20" s="19">
        <f>E17+E18+E19</f>
        <v/>
      </c>
      <c r="F20" s="19">
        <f>F17+F18+F19</f>
        <v/>
      </c>
      <c r="G20" s="19">
        <f>G17+G18+G19</f>
        <v/>
      </c>
      <c r="H20" s="19">
        <f>H17+H18+H19</f>
        <v/>
      </c>
      <c r="I20" s="19">
        <f>I17+I18+I19</f>
        <v/>
      </c>
      <c r="J20" s="19">
        <f>J17+J18+J19</f>
        <v/>
      </c>
      <c r="K20" s="19">
        <f>K17+K18+K19</f>
        <v/>
      </c>
      <c r="L20" s="19">
        <f>L17+L18+L19</f>
        <v/>
      </c>
      <c r="M20" s="19">
        <f>M17+M18+M19</f>
        <v/>
      </c>
    </row>
    <row r="21">
      <c r="A21" s="5" t="inlineStr">
        <is>
          <t>Costos fijos</t>
        </is>
      </c>
      <c r="B21" s="19">
        <f>'COSTOS FIJOS Y VARIABLES'!TotalCostosFijos5Noches*(1+InflacionMensual)^(COLUMN()-2)</f>
        <v/>
      </c>
      <c r="C21" s="19">
        <f>'COSTOS FIJOS Y VARIABLES'!TotalCostosFijos5Noches*(1+InflacionMensual)^(COLUMN()-2)</f>
        <v/>
      </c>
      <c r="D21" s="19">
        <f>'COSTOS FIJOS Y VARIABLES'!TotalCostosFijos5Noches*(1+InflacionMensual)^(COLUMN()-2)</f>
        <v/>
      </c>
      <c r="E21" s="19">
        <f>'COSTOS FIJOS Y VARIABLES'!TotalCostosFijos5Noches*(1+InflacionMensual)^(COLUMN()-2)</f>
        <v/>
      </c>
      <c r="F21" s="19">
        <f>'COSTOS FIJOS Y VARIABLES'!TotalCostosFijos5Noches*(1+InflacionMensual)^(COLUMN()-2)</f>
        <v/>
      </c>
      <c r="G21" s="19">
        <f>'COSTOS FIJOS Y VARIABLES'!TotalCostosFijos5Noches*(1+InflacionMensual)^(COLUMN()-2)</f>
        <v/>
      </c>
      <c r="H21" s="19">
        <f>'COSTOS FIJOS Y VARIABLES'!TotalCostosFijos5Noches*(1+InflacionMensual)^(COLUMN()-2)</f>
        <v/>
      </c>
      <c r="I21" s="19">
        <f>'COSTOS FIJOS Y VARIABLES'!TotalCostosFijos5Noches*(1+InflacionMensual)^(COLUMN()-2)</f>
        <v/>
      </c>
      <c r="J21" s="19">
        <f>'COSTOS FIJOS Y VARIABLES'!TotalCostosFijos5Noches*(1+InflacionMensual)^(COLUMN()-2)</f>
        <v/>
      </c>
      <c r="K21" s="19">
        <f>'COSTOS FIJOS Y VARIABLES'!TotalCostosFijos5Noches*(1+InflacionMensual)^(COLUMN()-2)</f>
        <v/>
      </c>
      <c r="L21" s="19">
        <f>'COSTOS FIJOS Y VARIABLES'!TotalCostosFijos5Noches*(1+InflacionMensual)^(COLUMN()-2)</f>
        <v/>
      </c>
      <c r="M21" s="19">
        <f>'COSTOS FIJOS Y VARIABLES'!TotalCostosFijos5Noches*(1+InflacionMensual)^(COLUMN()-2)</f>
        <v/>
      </c>
    </row>
    <row r="23" ht="18" customHeight="1">
      <c r="A23" s="4" t="inlineStr">
        <is>
          <t>RESULTADO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2" t="inlineStr">
        <is>
          <t>RESULTADO OPERATIVO</t>
        </is>
      </c>
      <c r="B24" s="24">
        <f>B12-B15-B16-B20-B21</f>
        <v/>
      </c>
      <c r="C24" s="24">
        <f>C12-C15-C16-C20-C21</f>
        <v/>
      </c>
      <c r="D24" s="24">
        <f>D12-D15-D16-D20-D21</f>
        <v/>
      </c>
      <c r="E24" s="24">
        <f>E12-E15-E16-E20-E21</f>
        <v/>
      </c>
      <c r="F24" s="24">
        <f>F12-F15-F16-F20-F21</f>
        <v/>
      </c>
      <c r="G24" s="24">
        <f>G12-G15-G16-G20-G21</f>
        <v/>
      </c>
      <c r="H24" s="24">
        <f>H12-H15-H16-H20-H21</f>
        <v/>
      </c>
      <c r="I24" s="24">
        <f>I12-I15-I16-I20-I21</f>
        <v/>
      </c>
      <c r="J24" s="24">
        <f>J12-J15-J16-J20-J21</f>
        <v/>
      </c>
      <c r="K24" s="24">
        <f>K12-K15-K16-K20-K21</f>
        <v/>
      </c>
      <c r="L24" s="24">
        <f>L12-L15-L16-L20-L21</f>
        <v/>
      </c>
      <c r="M24" s="24">
        <f>M12-M15-M16-M20-M21</f>
        <v/>
      </c>
    </row>
    <row r="25">
      <c r="A25" s="33" t="inlineStr">
        <is>
          <t>Margen neto %</t>
        </is>
      </c>
      <c r="B25" s="35">
        <f>B24/B12</f>
        <v/>
      </c>
      <c r="C25" s="35">
        <f>C24/C12</f>
        <v/>
      </c>
      <c r="D25" s="35">
        <f>D24/D12</f>
        <v/>
      </c>
      <c r="E25" s="35">
        <f>E24/E12</f>
        <v/>
      </c>
      <c r="F25" s="35">
        <f>F24/F12</f>
        <v/>
      </c>
      <c r="G25" s="35">
        <f>G24/G12</f>
        <v/>
      </c>
      <c r="H25" s="35">
        <f>H24/H12</f>
        <v/>
      </c>
      <c r="I25" s="35">
        <f>I24/I12</f>
        <v/>
      </c>
      <c r="J25" s="35">
        <f>J24/J12</f>
        <v/>
      </c>
      <c r="K25" s="35">
        <f>K24/K12</f>
        <v/>
      </c>
      <c r="L25" s="35">
        <f>L24/L12</f>
        <v/>
      </c>
      <c r="M25" s="35">
        <f>M24/M12</f>
        <v/>
      </c>
    </row>
    <row r="26">
      <c r="A26" s="33" t="inlineStr">
        <is>
          <t>Acumulado</t>
        </is>
      </c>
      <c r="B26" s="29">
        <f>SUM($B$24:B24)</f>
        <v/>
      </c>
      <c r="C26" s="29">
        <f>SUM($B$24:C24)</f>
        <v/>
      </c>
      <c r="D26" s="29">
        <f>SUM($B$24:D24)</f>
        <v/>
      </c>
      <c r="E26" s="29">
        <f>SUM($B$24:E24)</f>
        <v/>
      </c>
      <c r="F26" s="29">
        <f>SUM($B$24:F24)</f>
        <v/>
      </c>
      <c r="G26" s="29">
        <f>SUM($B$24:G24)</f>
        <v/>
      </c>
      <c r="H26" s="29">
        <f>SUM($B$24:H24)</f>
        <v/>
      </c>
      <c r="I26" s="29">
        <f>SUM($B$24:I24)</f>
        <v/>
      </c>
      <c r="J26" s="29">
        <f>SUM($B$24:J24)</f>
        <v/>
      </c>
      <c r="K26" s="29">
        <f>SUM($B$24:K24)</f>
        <v/>
      </c>
      <c r="L26" s="29">
        <f>SUM($B$24:L24)</f>
        <v/>
      </c>
      <c r="M26" s="29">
        <f>SUM($B$24:M24)</f>
        <v/>
      </c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</row>
  </sheetData>
  <mergeCells count="4">
    <mergeCell ref="A23:M23"/>
    <mergeCell ref="A14:M14"/>
    <mergeCell ref="A1:M1"/>
    <mergeCell ref="A7:M7"/>
  </mergeCells>
  <conditionalFormatting sqref="B24:M24">
    <cfRule type="cellIs" priority="1" operator="lessThan" dxfId="0">
      <formula>0</formula>
    </cfRule>
    <cfRule type="cellIs" priority="2" operator="between" dxfId="2">
      <formula>0</formula>
      <formula>200000</formula>
    </cfRule>
    <cfRule type="cellIs" priority="3" operator="greaterThan" dxfId="1">
      <formula>200000</formula>
    </cfRule>
  </conditionalFormatting>
  <conditionalFormatting sqref="B25:M25">
    <cfRule type="cellIs" priority="4" operator="lessThan" dxfId="0">
      <formula>0</formula>
    </cfRule>
    <cfRule type="cellIs" priority="5" operator="between" dxfId="2">
      <formula>0</formula>
      <formula>0.1</formula>
    </cfRule>
    <cfRule type="cellIs" priority="6" operator="greaterThan" dxfId="1">
      <formula>0.1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zoomScale="10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ESCENARIOS — pesimista / base / optimista</t>
        </is>
      </c>
      <c r="B1" s="2" t="n"/>
      <c r="C1" s="2" t="n"/>
      <c r="D1" s="2" t="n"/>
    </row>
    <row r="2" ht="30" customHeight="1">
      <c r="A2" s="3" t="inlineStr">
        <is>
          <t>Concepto</t>
        </is>
      </c>
      <c r="B2" s="3" t="inlineStr">
        <is>
          <t>Pesimista</t>
        </is>
      </c>
      <c r="C2" s="3" t="inlineStr">
        <is>
          <t>Base</t>
        </is>
      </c>
      <c r="D2" s="3" t="inlineStr">
        <is>
          <t>Optimista</t>
        </is>
      </c>
    </row>
    <row r="3">
      <c r="A3" s="5" t="inlineStr">
        <is>
          <t>Personas por noche</t>
        </is>
      </c>
      <c r="B3" s="6" t="n">
        <v>25</v>
      </c>
      <c r="C3" s="31">
        <f>PersonasPorNocheBase</f>
        <v/>
      </c>
      <c r="D3" s="6" t="n">
        <v>55</v>
      </c>
    </row>
    <row r="4">
      <c r="A4" s="5" t="inlineStr">
        <is>
          <t>Copas por persona</t>
        </is>
      </c>
      <c r="B4" s="9" t="n">
        <v>1.8</v>
      </c>
      <c r="C4" s="10">
        <f>CopasPorPersona</f>
        <v/>
      </c>
      <c r="D4" s="9" t="n">
        <v>2.6</v>
      </c>
    </row>
    <row r="5">
      <c r="A5" s="5" t="inlineStr">
        <is>
          <t>% bodegas socias en carta</t>
        </is>
      </c>
      <c r="B5" s="11" t="n">
        <v>0.3</v>
      </c>
      <c r="C5" s="38">
        <f>PctBodegasSocias</f>
        <v/>
      </c>
      <c r="D5" s="11" t="n">
        <v>0.6</v>
      </c>
    </row>
    <row r="6">
      <c r="A6" s="5" t="inlineStr">
        <is>
          <t>Ticket tapeo promedio</t>
        </is>
      </c>
      <c r="B6" s="12">
        <f>TAPEO!TicketTapeoPromedio*0.7</f>
        <v/>
      </c>
      <c r="C6" s="19">
        <f>TAPEO!TicketTapeoPromedio</f>
        <v/>
      </c>
      <c r="D6" s="12">
        <f>TAPEO!TicketTapeoPromedio*1.3</f>
        <v/>
      </c>
    </row>
    <row r="8" ht="18" customHeight="1">
      <c r="A8" s="4" t="inlineStr">
        <is>
          <t>PROYECCIÓN MENSUAL RESULTANTE</t>
        </is>
      </c>
      <c r="B8" s="2" t="n"/>
      <c r="C8" s="2" t="n"/>
      <c r="D8" s="2" t="n"/>
    </row>
    <row r="9">
      <c r="A9" s="5" t="inlineStr">
        <is>
          <t>Copas vendidas por mes</t>
        </is>
      </c>
      <c r="B9" s="31">
        <f>B3*B4*NochesPorMes</f>
        <v/>
      </c>
      <c r="C9" s="31">
        <f>C3*C4*NochesPorMes</f>
        <v/>
      </c>
      <c r="D9" s="31">
        <f>D3*D4*NochesPorMes</f>
        <v/>
      </c>
    </row>
    <row r="10">
      <c r="A10" s="5" t="inlineStr">
        <is>
          <t>Precio venta promedio</t>
        </is>
      </c>
      <c r="B10" s="19">
        <f>'CARTA SEMANAL'!PrecioVentaPromedio</f>
        <v/>
      </c>
      <c r="C10" s="19">
        <f>'CARTA SEMANAL'!PrecioVentaPromedio</f>
        <v/>
      </c>
      <c r="D10" s="19">
        <f>'CARTA SEMANAL'!PrecioVentaPromedio</f>
        <v/>
      </c>
    </row>
    <row r="11">
      <c r="A11" s="5" t="inlineStr">
        <is>
          <t>Costo por copa (según mix de socias)</t>
        </is>
      </c>
      <c r="B11" s="20">
        <f>'PUNTO DE EQUILIBRIO'!CostoPorCopaCompraPromedio*(1-B5)</f>
        <v/>
      </c>
      <c r="C11" s="20">
        <f>'PUNTO DE EQUILIBRIO'!CostoPorCopaCompraPromedio*(1-C5)</f>
        <v/>
      </c>
      <c r="D11" s="20">
        <f>'PUNTO DE EQUILIBRIO'!CostoPorCopaCompraPromedio*(1-D5)</f>
        <v/>
      </c>
    </row>
    <row r="12">
      <c r="A12" s="5" t="inlineStr">
        <is>
          <t>Ingreso copas mensual</t>
        </is>
      </c>
      <c r="B12" s="19">
        <f>B9*'CARTA SEMANAL'!PrecioVentaPromedio</f>
        <v/>
      </c>
      <c r="C12" s="19">
        <f>C9*'CARTA SEMANAL'!PrecioVentaPromedio</f>
        <v/>
      </c>
      <c r="D12" s="19">
        <f>D9*'CARTA SEMANAL'!PrecioVentaPromedio</f>
        <v/>
      </c>
    </row>
    <row r="13">
      <c r="A13" s="5" t="inlineStr">
        <is>
          <t>Ingreso tapeo mensual</t>
        </is>
      </c>
      <c r="B13" s="19">
        <f>B3*NochesPorMes*PctClientesTapeo*B6</f>
        <v/>
      </c>
      <c r="C13" s="19">
        <f>C3*NochesPorMes*PctClientesTapeo*C6</f>
        <v/>
      </c>
      <c r="D13" s="19">
        <f>D3*NochesPorMes*PctClientesTapeo*D6</f>
        <v/>
      </c>
    </row>
    <row r="14">
      <c r="A14" s="5" t="inlineStr">
        <is>
          <t>Ingreso club de socios mensual (prom. anual)</t>
        </is>
      </c>
      <c r="B14" s="19">
        <f>((ClubSociosInicial+ClubSociosFinal)/2)*ClubSociosCuotaPromedio</f>
        <v/>
      </c>
      <c r="C14" s="19">
        <f>((ClubSociosInicial+ClubSociosFinal)/2)*ClubSociosCuotaPromedio</f>
        <v/>
      </c>
      <c r="D14" s="19">
        <f>((ClubSociosInicial+ClubSociosFinal)/2)*ClubSociosCuotaPromedio</f>
        <v/>
      </c>
    </row>
    <row r="15">
      <c r="A15" s="5" t="inlineStr">
        <is>
          <t>Ingreso eventos mensual</t>
        </is>
      </c>
      <c r="B15" s="19">
        <f>IngresoEventosMensual</f>
        <v/>
      </c>
      <c r="C15" s="19">
        <f>IngresoEventosMensual</f>
        <v/>
      </c>
      <c r="D15" s="19">
        <f>IngresoEventosMensual</f>
        <v/>
      </c>
    </row>
    <row r="16">
      <c r="A16" s="22" t="inlineStr">
        <is>
          <t>TOTAL INGRESOS</t>
        </is>
      </c>
      <c r="B16" s="24">
        <f>SUM(B12:B15)</f>
        <v/>
      </c>
      <c r="C16" s="24">
        <f>SUM(C12:C15)</f>
        <v/>
      </c>
      <c r="D16" s="24">
        <f>SUM(D12:D15)</f>
        <v/>
      </c>
    </row>
    <row r="17">
      <c r="A17" s="5" t="inlineStr">
        <is>
          <t>Costo de vino mensual</t>
        </is>
      </c>
      <c r="B17" s="19">
        <f>B9*B11</f>
        <v/>
      </c>
      <c r="C17" s="19">
        <f>C9*C11</f>
        <v/>
      </c>
      <c r="D17" s="19">
        <f>D9*D11</f>
        <v/>
      </c>
    </row>
    <row r="18">
      <c r="A18" s="5" t="inlineStr">
        <is>
          <t>Costo de tapeo mensual</t>
        </is>
      </c>
      <c r="B18" s="19">
        <f>B13*TAPEO!TapeoCostoPct</f>
        <v/>
      </c>
      <c r="C18" s="19">
        <f>C13*TAPEO!TapeoCostoPct</f>
        <v/>
      </c>
      <c r="D18" s="19">
        <f>D13*TAPEO!TapeoCostoPct</f>
        <v/>
      </c>
    </row>
    <row r="19">
      <c r="A19" s="41" t="inlineStr">
        <is>
          <t>Costos variables (comisión + limpieza + cristalería)</t>
        </is>
      </c>
      <c r="B19" s="19">
        <f>B16*PctComisionMedioPago+CostoLimpiezaPorNoche*NochesPorMes+B9*PctRoturasCristaleria*CostoReposicionCopaUnidad</f>
        <v/>
      </c>
      <c r="C19" s="19">
        <f>C16*PctComisionMedioPago+CostoLimpiezaPorNoche*NochesPorMes+C9*PctRoturasCristaleria*CostoReposicionCopaUnidad</f>
        <v/>
      </c>
      <c r="D19" s="19">
        <f>D16*PctComisionMedioPago+CostoLimpiezaPorNoche*NochesPorMes+D9*PctRoturasCristaleria*CostoReposicionCopaUnidad</f>
        <v/>
      </c>
    </row>
    <row r="20">
      <c r="A20" s="5" t="inlineStr">
        <is>
          <t>Costos fijos</t>
        </is>
      </c>
      <c r="B20" s="19">
        <f>'COSTOS FIJOS Y VARIABLES'!TotalCostosFijos5Noches</f>
        <v/>
      </c>
      <c r="C20" s="19">
        <f>'COSTOS FIJOS Y VARIABLES'!TotalCostosFijos5Noches</f>
        <v/>
      </c>
      <c r="D20" s="19">
        <f>'COSTOS FIJOS Y VARIABLES'!TotalCostosFijos5Noches</f>
        <v/>
      </c>
    </row>
    <row r="21">
      <c r="A21" s="22" t="inlineStr">
        <is>
          <t>RESULTADO OPERATIVO</t>
        </is>
      </c>
      <c r="B21" s="24">
        <f>B16-B17-B18-B19-B20</f>
        <v/>
      </c>
      <c r="C21" s="24">
        <f>C16-C17-C18-C19-C20</f>
        <v/>
      </c>
      <c r="D21" s="24">
        <f>D16-D17-D18-D19-D20</f>
        <v/>
      </c>
    </row>
    <row r="22">
      <c r="A22" s="33" t="inlineStr">
        <is>
          <t>Margen neto %</t>
        </is>
      </c>
      <c r="B22" s="35">
        <f>B21/B16</f>
        <v/>
      </c>
      <c r="C22" s="35">
        <f>C21/C16</f>
        <v/>
      </c>
      <c r="D22" s="35">
        <f>D21/D16</f>
        <v/>
      </c>
    </row>
    <row r="24">
      <c r="A24" s="16" t="n"/>
      <c r="B24" s="16" t="n"/>
      <c r="C24" s="16" t="n"/>
      <c r="D24" s="16" t="n"/>
    </row>
  </sheetData>
  <mergeCells count="2">
    <mergeCell ref="A1:D1"/>
    <mergeCell ref="A8:D8"/>
  </mergeCells>
  <conditionalFormatting sqref="B21:D21">
    <cfRule type="cellIs" priority="1" operator="lessThan" dxfId="0">
      <formula>0</formula>
    </cfRule>
    <cfRule type="cellIs" priority="2" operator="between" dxfId="2">
      <formula>0</formula>
      <formula>200000</formula>
    </cfRule>
    <cfRule type="cellIs" priority="3" operator="greaterThan" dxfId="1">
      <formula>200000</formula>
    </cfRule>
  </conditionalFormatting>
  <conditionalFormatting sqref="B22:D22">
    <cfRule type="cellIs" priority="4" operator="lessThan" dxfId="0">
      <formula>0</formula>
    </cfRule>
    <cfRule type="cellIs" priority="5" operator="between" dxfId="2">
      <formula>0</formula>
      <formula>0.1</formula>
    </cfRule>
    <cfRule type="cellIs" priority="6" operator="greaterThan" dxfId="1">
      <formula>0.1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125cc Wine Bar</dc:creator>
  <dc:title>125cc Wine Bar — Costeo operativo</dc:title>
  <dcterms:created xsi:type="dcterms:W3CDTF">2026-07-21T21:07:24Z</dcterms:created>
  <dcterms:modified xsi:type="dcterms:W3CDTF">2026-07-21T21:07:24Z</dcterms:modified>
</cp:coreProperties>
</file>